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 Dataset" sheetId="2" state="visible" r:id="rId4"/>
    <sheet name="2025 Scorecard Detail" sheetId="3" state="visible" r:id="rId5"/>
    <sheet name="Team Records" sheetId="4" state="visible" r:id="rId6"/>
    <sheet name="Tournament Summary" sheetId="5" state="visible" r:id="rId7"/>
    <sheet name="Venue Analysis" sheetId="6" state="visible" r:id="rId8"/>
    <sheet name="Player of the Match" sheetId="7" state="visible" r:id="rId9"/>
  </sheets>
  <definedNames>
    <definedName function="false" hidden="true" localSheetId="2" name="_xlnm._FilterDatabase" vbProcedure="false">'2025 Scorecard Detail'!$A$1:$BA$20</definedName>
    <definedName function="false" hidden="true" localSheetId="1" name="_xlnm._FilterDatabase" vbProcedure="false">'Master Dataset'!$A$1:$BF$33</definedName>
    <definedName function="false" hidden="true" localSheetId="3" name="_xlnm._FilterDatabase" vbProcedure="false">'Team Records'!$A$1:$O$15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<sst xmlns="http://schemas.openxmlformats.org/spreadsheetml/2006/main" count="1505" uniqueCount="677">
  <si>
    <t xml:space="preserve">Asia Cup Complete Dataset (2022 + 2025)</t>
  </si>
  <si>
    <t xml:space="preserve">Scope</t>
  </si>
  <si>
    <t xml:space="preserve">Asia Cup 2022 (13 matches, from your xlsx) + Asia Cup 2025 (19 matches, from the downloaded CSV) = 32 T20I matches.</t>
  </si>
  <si>
    <t xml:space="preserve">Sheets</t>
  </si>
  <si>
    <t xml:space="preserve">Master Dataset · 2025 Scorecard Detail · Team Records · Tournament Summary · Venue Analysis · Player of the Match</t>
  </si>
  <si>
    <t xml:space="preserve">Colour code</t>
  </si>
  <si>
    <t xml:space="preserve">Navy header = original columns from your xlsx / CSV.  Brown header = new identifier columns.  Green header = derived columns (live formulas).</t>
  </si>
  <si>
    <t xml:space="preserve">Changes made to your original data</t>
  </si>
  <si>
    <t xml:space="preserve">• Dates 2022: matches 5–13 had day and month swapped (e.g. 1 Sep stored as 9 Jan). All dates rebuilt as real dates and checked against the Day column.</t>
  </si>
  <si>
    <t xml:space="preserve">• Match 2 (India v Pakistan, 28 Aug 2022): Toss Winner changed from Pakistan to India. India won the toss and chose to field, which is also what makes Pakistan (Team 1) the side batting first.</t>
  </si>
  <si>
    <t xml:space="preserve">• Group "Super four" standardised to "Super Four"; boundary lengths, wind speed stored as numbers (displayed as 65M, 12 km/h); humidity shown as %.</t>
  </si>
  <si>
    <t xml:space="preserve">• Header row simplified: the merged title row is replaced by a Series column; the blank spacer column and the leading space in " TV Umpire" removed.</t>
  </si>
  <si>
    <t xml:space="preserve">• 2025 start times: the CSV says "6:00 PM LOCAL" but the ACC moved 18 of 19 matches to 6:30 PM GST (UAE v Oman, 15 Sep, was 4 PM GST). Written in your 2022 style with BST (GST + 1 hr).</t>
  </si>
  <si>
    <t xml:space="preserve">Known gaps (not invented)</t>
  </si>
  <si>
    <t xml:space="preserve">• 2025 weather and pitch were researched match by match (see the Weather &amp; Pitch Source column). Condition = Wisden match-page weather where available, otherwise a pre-match forecast marked "(forecast)". Temperature, humidity and wind are pre-match FORECASTS from news previews, not measured readings, and are filled only where a source gave a figure.</t>
  </si>
  <si>
    <t xml:space="preserve">• Still blank for 2025: humidity (except Matches 6 and 11), wind speed (except Matches 6 and 16), wind direction, and weather condition for Matches 5 and 15. No source was found for these.</t>
  </si>
  <si>
    <t xml:space="preserve">• 2025 pitch notes are written from previews, toss reports and expert pitch reports, so they describe the expected or reported behaviour, not a post-match measurement. Match 14 uses a venue-level description because no match-specific report was found.</t>
  </si>
  <si>
    <t xml:space="preserve">• Boundary lengths: Dubai values reused from 2022 (same ground). Sheikh Zayed Stadium boundaries could not be found from a reliable source, so they are blank. Pitch length 20.12 m and width 3.05 m are the standard values.</t>
  </si>
  <si>
    <t xml:space="preserve">• Reserved Umpire is blank for 2025 (not in CSV). Playing XI, batting/bowling cards, fall of wickets, fours/sixes exist for 2025 only.</t>
  </si>
  <si>
    <t xml:space="preserve">• Super Over tie (2025 Match 18, India v Sri Lanka): Team 1 Run = Team 2 Run = 202; winner recorded as India, Won by = "Super Over".</t>
  </si>
  <si>
    <t xml:space="preserve">Derived columns in Master Dataset (formulas)</t>
  </si>
  <si>
    <t xml:space="preserve">Batting First / Second</t>
  </si>
  <si>
    <t xml:space="preserve">From toss winner and toss decision.</t>
  </si>
  <si>
    <t xml:space="preserve">1st / 2nd Innings Score</t>
  </si>
  <si>
    <t xml:space="preserve">Runs of the team that batted first / second.</t>
  </si>
  <si>
    <t xml:space="preserve">Match Loser</t>
  </si>
  <si>
    <t xml:space="preserve">The team that did not win.</t>
  </si>
  <si>
    <t xml:space="preserve">Result Type</t>
  </si>
  <si>
    <t xml:space="preserve">"Tie (Super Over)" if both scores are level, otherwise "Normal".</t>
  </si>
  <si>
    <t xml:space="preserve">Winner Batted</t>
  </si>
  <si>
    <t xml:space="preserve">Batting First, Chasing, or Super Over.</t>
  </si>
  <si>
    <t xml:space="preserve">Toss Winner Won Match</t>
  </si>
  <si>
    <t xml:space="preserve">Yes / No.</t>
  </si>
  <si>
    <t xml:space="preserve">Margin Type / Value</t>
  </si>
  <si>
    <t xml:space="preserve">Parsed from "Won by": Runs or Wickets and the number.</t>
  </si>
  <si>
    <t xml:space="preserve">Total Match Runs / Run Difference</t>
  </si>
  <si>
    <t xml:space="preserve">Both teams combined / absolute gap.</t>
  </si>
  <si>
    <t xml:space="preserve">Total Powerplay Runs, Total Extras</t>
  </si>
  <si>
    <t xml:space="preserve">Both teams combined.</t>
  </si>
  <si>
    <t xml:space="preserve">Fixture Key</t>
  </si>
  <si>
    <t xml:space="preserve">Series|Stage, used by the summary sheets to find the final.</t>
  </si>
  <si>
    <t xml:space="preserve">Sources</t>
  </si>
  <si>
    <t xml:space="preserve">• Asia Cup 2022: your asia_cup_dataset.xlsx; toss for Match 2 checked against ESPNcricinfo / Wisden / Arab News match reports.</t>
  </si>
  <si>
    <t xml:space="preserve">• Asia Cup 2025: asia_cup_2025_complete_dataset.csv (as supplied); start times checked against the Emirates Cricket Board / ACC announcement.</t>
  </si>
  <si>
    <t xml:space="preserve">Match ID</t>
  </si>
  <si>
    <t xml:space="preserve">Series</t>
  </si>
  <si>
    <t xml:space="preserve">Year</t>
  </si>
  <si>
    <t xml:space="preserve">Match Number</t>
  </si>
  <si>
    <t xml:space="preserve">Match Label</t>
  </si>
  <si>
    <t xml:space="preserve">Date</t>
  </si>
  <si>
    <t xml:space="preserve">Group</t>
  </si>
  <si>
    <t xml:space="preserve">Stage</t>
  </si>
  <si>
    <t xml:space="preserve">Day</t>
  </si>
  <si>
    <t xml:space="preserve">Venue</t>
  </si>
  <si>
    <t xml:space="preserve">City</t>
  </si>
  <si>
    <t xml:space="preserve">Time</t>
  </si>
  <si>
    <t xml:space="preserve">Format</t>
  </si>
  <si>
    <t xml:space="preserve">Straight Boundary Length</t>
  </si>
  <si>
    <t xml:space="preserve">Square Boundary Length</t>
  </si>
  <si>
    <t xml:space="preserve">Mid Wicket Boundary Length</t>
  </si>
  <si>
    <t xml:space="preserve">Wicket-to-Wicket Length</t>
  </si>
  <si>
    <t xml:space="preserve">Pitch Width</t>
  </si>
  <si>
    <t xml:space="preserve">Temperature</t>
  </si>
  <si>
    <t xml:space="preserve">Humidity</t>
  </si>
  <si>
    <t xml:space="preserve">Condition</t>
  </si>
  <si>
    <t xml:space="preserve">Wind Speed</t>
  </si>
  <si>
    <t xml:space="preserve">Wind Direction</t>
  </si>
  <si>
    <t xml:space="preserve">Pitch Condition</t>
  </si>
  <si>
    <t xml:space="preserve">Team 1</t>
  </si>
  <si>
    <t xml:space="preserve">Team 2</t>
  </si>
  <si>
    <t xml:space="preserve">Toss Winner</t>
  </si>
  <si>
    <t xml:space="preserve">Elected First</t>
  </si>
  <si>
    <t xml:space="preserve">Powerplay Run Team 1</t>
  </si>
  <si>
    <t xml:space="preserve">Powerplay Run Team 2</t>
  </si>
  <si>
    <t xml:space="preserve">Team 1 Run</t>
  </si>
  <si>
    <t xml:space="preserve">Team 2 Run</t>
  </si>
  <si>
    <t xml:space="preserve">Match Winner</t>
  </si>
  <si>
    <t xml:space="preserve">Player of The Match</t>
  </si>
  <si>
    <t xml:space="preserve">Team 1 Extras</t>
  </si>
  <si>
    <t xml:space="preserve">Team 2 Extras</t>
  </si>
  <si>
    <t xml:space="preserve">Won by</t>
  </si>
  <si>
    <t xml:space="preserve">Umpire 1</t>
  </si>
  <si>
    <t xml:space="preserve">Umpire 2</t>
  </si>
  <si>
    <t xml:space="preserve">TV Umpire</t>
  </si>
  <si>
    <t xml:space="preserve">Reserved Umpire</t>
  </si>
  <si>
    <t xml:space="preserve">Match Referee</t>
  </si>
  <si>
    <t xml:space="preserve">Weather &amp; Pitch Source</t>
  </si>
  <si>
    <t xml:space="preserve">Batting First</t>
  </si>
  <si>
    <t xml:space="preserve">Batting Second</t>
  </si>
  <si>
    <t xml:space="preserve">1st Innings Score</t>
  </si>
  <si>
    <t xml:space="preserve">2nd Innings Score</t>
  </si>
  <si>
    <t xml:space="preserve">Margin Type</t>
  </si>
  <si>
    <t xml:space="preserve">Margin Value</t>
  </si>
  <si>
    <t xml:space="preserve">Total Match Runs</t>
  </si>
  <si>
    <t xml:space="preserve">Run Difference</t>
  </si>
  <si>
    <t xml:space="preserve">Total Powerplay Runs</t>
  </si>
  <si>
    <t xml:space="preserve">Total Extras</t>
  </si>
  <si>
    <t xml:space="preserve">AC2022-01</t>
  </si>
  <si>
    <t xml:space="preserve">Asia Cup 2022</t>
  </si>
  <si>
    <t xml:space="preserve">1st Match, Group B</t>
  </si>
  <si>
    <t xml:space="preserve">B</t>
  </si>
  <si>
    <t xml:space="preserve">Group Stage</t>
  </si>
  <si>
    <t xml:space="preserve">Saturday</t>
  </si>
  <si>
    <t xml:space="preserve">Dubai International Cricket Stadium</t>
  </si>
  <si>
    <t xml:space="preserve">Dubai</t>
  </si>
  <si>
    <t xml:space="preserve">6 PM (GST), 8 PM (BST)</t>
  </si>
  <si>
    <t xml:space="preserve">T20I</t>
  </si>
  <si>
    <t xml:space="preserve">36 deg C</t>
  </si>
  <si>
    <t xml:space="preserve">Passing Clouds</t>
  </si>
  <si>
    <t xml:space="preserve">North East</t>
  </si>
  <si>
    <t xml:space="preserve">Two-paced - there was the occasional low bounce</t>
  </si>
  <si>
    <t xml:space="preserve">Sri Lanka</t>
  </si>
  <si>
    <t xml:space="preserve">Afghanistan</t>
  </si>
  <si>
    <t xml:space="preserve">Bowl</t>
  </si>
  <si>
    <t xml:space="preserve">Fazalhaq Farooqi</t>
  </si>
  <si>
    <t xml:space="preserve">8 Wickets</t>
  </si>
  <si>
    <t xml:space="preserve">Ahsan Raza</t>
  </si>
  <si>
    <t xml:space="preserve">Anil Chaudhary</t>
  </si>
  <si>
    <t xml:space="preserve">Jayaraman Madanagopal</t>
  </si>
  <si>
    <t xml:space="preserve">Asif Yaqoob</t>
  </si>
  <si>
    <t xml:space="preserve">Jeff Crowe</t>
  </si>
  <si>
    <t xml:space="preserve">Original dataset (user-supplied)</t>
  </si>
  <si>
    <t xml:space="preserve">AC2022-02</t>
  </si>
  <si>
    <t xml:space="preserve">2nd Match, Group A</t>
  </si>
  <si>
    <t xml:space="preserve">A</t>
  </si>
  <si>
    <t xml:space="preserve">Sunday</t>
  </si>
  <si>
    <t xml:space="preserve">35 / 33 deg C</t>
  </si>
  <si>
    <t xml:space="preserve">East North East</t>
  </si>
  <si>
    <t xml:space="preserve">A balanced yet challenging surface with a mix of steep bounce, tackiness, and late dew</t>
  </si>
  <si>
    <t xml:space="preserve">Pakistan</t>
  </si>
  <si>
    <t xml:space="preserve">India</t>
  </si>
  <si>
    <t xml:space="preserve">Hardik Pandya</t>
  </si>
  <si>
    <t xml:space="preserve">5 Wickets</t>
  </si>
  <si>
    <t xml:space="preserve">Masudur Rahman</t>
  </si>
  <si>
    <t xml:space="preserve">Ruchira Palliyaguruge</t>
  </si>
  <si>
    <t xml:space="preserve">Raveendra Wimalasiri</t>
  </si>
  <si>
    <t xml:space="preserve">Gazi Sohel</t>
  </si>
  <si>
    <t xml:space="preserve">AC2022-03</t>
  </si>
  <si>
    <t xml:space="preserve">3rd Match, Group B</t>
  </si>
  <si>
    <t xml:space="preserve">Tuesday</t>
  </si>
  <si>
    <t xml:space="preserve">Sharjah Cricket Stadium</t>
  </si>
  <si>
    <t xml:space="preserve">Sharjah</t>
  </si>
  <si>
    <t xml:space="preserve">37 / 33 deg C</t>
  </si>
  <si>
    <t xml:space="preserve">A smallish ground with a flat pitch. Looks amazing to bat on</t>
  </si>
  <si>
    <t xml:space="preserve">Bangladesh</t>
  </si>
  <si>
    <t xml:space="preserve">Bat</t>
  </si>
  <si>
    <t xml:space="preserve">Mujeeb Ur Rahman</t>
  </si>
  <si>
    <t xml:space="preserve">7 Wickets</t>
  </si>
  <si>
    <t xml:space="preserve">AC2022-04</t>
  </si>
  <si>
    <t xml:space="preserve">4th Match, Group A</t>
  </si>
  <si>
    <t xml:space="preserve">Wednesday</t>
  </si>
  <si>
    <t xml:space="preserve">35 / 34 deg C</t>
  </si>
  <si>
    <t xml:space="preserve">Clear</t>
  </si>
  <si>
    <t xml:space="preserve">North North West</t>
  </si>
  <si>
    <t xml:space="preserve">All the grass is in clusters, which means the ball will definitely seam around</t>
  </si>
  <si>
    <t xml:space="preserve">Hong Kong</t>
  </si>
  <si>
    <t xml:space="preserve">Suryakumar Yadav</t>
  </si>
  <si>
    <t xml:space="preserve">40 Runs</t>
  </si>
  <si>
    <t xml:space="preserve">Ahmad Shah Pakteen</t>
  </si>
  <si>
    <t xml:space="preserve">AC2022-05</t>
  </si>
  <si>
    <t xml:space="preserve">5th Match, Group B</t>
  </si>
  <si>
    <t xml:space="preserve">Thursday</t>
  </si>
  <si>
    <t xml:space="preserve">The match will be played on a used surface, which means it might be a little more spin-friendly than tracks</t>
  </si>
  <si>
    <t xml:space="preserve">Kusal Mendis</t>
  </si>
  <si>
    <t xml:space="preserve">2 Wickets</t>
  </si>
  <si>
    <t xml:space="preserve">Bismillah Jan Shinwari</t>
  </si>
  <si>
    <t xml:space="preserve">AC2022-06</t>
  </si>
  <si>
    <t xml:space="preserve">6th Match, Group A</t>
  </si>
  <si>
    <t xml:space="preserve">Friday</t>
  </si>
  <si>
    <t xml:space="preserve">Slow and low, offering short boundaries but favoring spinners and disciplined bowlers over heavy hitters</t>
  </si>
  <si>
    <t xml:space="preserve">Mohammad Rizwan</t>
  </si>
  <si>
    <t xml:space="preserve">155 Runs</t>
  </si>
  <si>
    <t xml:space="preserve">AC2022-07</t>
  </si>
  <si>
    <t xml:space="preserve">7th Match, Super Four</t>
  </si>
  <si>
    <t xml:space="preserve">Super Four</t>
  </si>
  <si>
    <t xml:space="preserve">36 / 34 deg C</t>
  </si>
  <si>
    <t xml:space="preserve">A balanced-to-batting-friendly surface that favored teams chasing under the lights</t>
  </si>
  <si>
    <t xml:space="preserve">Rahmanullah Gurbaz</t>
  </si>
  <si>
    <t xml:space="preserve">4 Wickets</t>
  </si>
  <si>
    <t xml:space="preserve">Andy Pycroft</t>
  </si>
  <si>
    <t xml:space="preserve">AC2022-08</t>
  </si>
  <si>
    <t xml:space="preserve">8th Match, Super Four</t>
  </si>
  <si>
    <t xml:space="preserve">A pitch with steep bounce</t>
  </si>
  <si>
    <t xml:space="preserve">Mohammad Nawaz</t>
  </si>
  <si>
    <t xml:space="preserve">AC2022-09</t>
  </si>
  <si>
    <t xml:space="preserve">9th Match, Super Four</t>
  </si>
  <si>
    <t xml:space="preserve">36 / 35 deg C</t>
  </si>
  <si>
    <t xml:space="preserve">The track offered a balanced contest for both batters and bowlers rather than playing as a pure batting paradise.</t>
  </si>
  <si>
    <t xml:space="preserve">Dasun Shanaka</t>
  </si>
  <si>
    <t xml:space="preserve">6 Wickets</t>
  </si>
  <si>
    <t xml:space="preserve">AC2022-10</t>
  </si>
  <si>
    <t xml:space="preserve">10th Match, Super Four</t>
  </si>
  <si>
    <t xml:space="preserve">36 / 33 deg C</t>
  </si>
  <si>
    <t xml:space="preserve">North North East</t>
  </si>
  <si>
    <t xml:space="preserve">Low bounce and slow pace, making it challenging for fluent stroke-play.</t>
  </si>
  <si>
    <t xml:space="preserve">Shadab Khan</t>
  </si>
  <si>
    <t xml:space="preserve">1 Wicket</t>
  </si>
  <si>
    <t xml:space="preserve">AC2022-11</t>
  </si>
  <si>
    <t xml:space="preserve">11th Match, Super Four</t>
  </si>
  <si>
    <t xml:space="preserve">East</t>
  </si>
  <si>
    <t xml:space="preserve">Unexpected and significant swing with the new white ball, particularly during the initial overs</t>
  </si>
  <si>
    <t xml:space="preserve">Virat Kohli</t>
  </si>
  <si>
    <t xml:space="preserve">101 Runs</t>
  </si>
  <si>
    <t xml:space="preserve">AC2022-12</t>
  </si>
  <si>
    <t xml:space="preserve">12th Match, Super Four</t>
  </si>
  <si>
    <t xml:space="preserve">34 / 33 deg C</t>
  </si>
  <si>
    <t xml:space="preserve">The pitch offered decent turn and grip for quality spinners</t>
  </si>
  <si>
    <t xml:space="preserve">Wanindu Hasaranga</t>
  </si>
  <si>
    <t xml:space="preserve">AC2022-13</t>
  </si>
  <si>
    <t xml:space="preserve">Final</t>
  </si>
  <si>
    <t xml:space="preserve">Favored the chasing side heavily due to the dew factor in the second innings</t>
  </si>
  <si>
    <t xml:space="preserve">Bhanuka Rajapaksa</t>
  </si>
  <si>
    <t xml:space="preserve">23 Runs</t>
  </si>
  <si>
    <t xml:space="preserve">AC2025-01</t>
  </si>
  <si>
    <t xml:space="preserve">Asia Cup 2025</t>
  </si>
  <si>
    <t xml:space="preserve">Sheikh Zayed Stadium</t>
  </si>
  <si>
    <t xml:space="preserve">Abu Dhabi</t>
  </si>
  <si>
    <t xml:space="preserve">6:30 PM (GST), 8:30 PM (BST)</t>
  </si>
  <si>
    <t xml:space="preserve">~36 deg C</t>
  </si>
  <si>
    <t xml:space="preserve">Usually batter-friendly, especially early on; true, even bounce that rewards stroke play.</t>
  </si>
  <si>
    <t xml:space="preserve">Azmatullah Omarzai</t>
  </si>
  <si>
    <t xml:space="preserve">94 Runs</t>
  </si>
  <si>
    <t xml:space="preserve">Virender Sharma</t>
  </si>
  <si>
    <t xml:space="preserve">Faisal Afridi</t>
  </si>
  <si>
    <t xml:space="preserve">Richie Richardson</t>
  </si>
  <si>
    <t xml:space="preserve">Condition: Wisden match page. Temp: WION pre-match forecast. Pitch: WION / Cricket Times previews.</t>
  </si>
  <si>
    <t xml:space="preserve">AC2025-02</t>
  </si>
  <si>
    <t xml:space="preserve">~35-36 deg C</t>
  </si>
  <si>
    <t xml:space="preserve">Clear / Partly Cloudy (forecast)</t>
  </si>
  <si>
    <t xml:space="preserve">Newly laid pitch with some cracks on a calmer day for heat; pace bowlers usually get early movement and bounce under lights.</t>
  </si>
  <si>
    <t xml:space="preserve">United Arab Emirates</t>
  </si>
  <si>
    <t xml:space="preserve">Kuldeep Yadav</t>
  </si>
  <si>
    <t xml:space="preserve">9 Wickets</t>
  </si>
  <si>
    <t xml:space="preserve">Izatullah Safi</t>
  </si>
  <si>
    <t xml:space="preserve">Temp/condition: WION and Sportskeeda forecasts (they differ on humidity, 51% vs 65%, so humidity left blank). Pitch: Business Standard pitch report (Arnold/Manjrekar).</t>
  </si>
  <si>
    <t xml:space="preserve">AC2025-03</t>
  </si>
  <si>
    <t xml:space="preserve">~36-40 deg C</t>
  </si>
  <si>
    <t xml:space="preserve">Clear (forecast)</t>
  </si>
  <si>
    <t xml:space="preserve">Dry surface with some cracks opening up but still run-friendly; shorter boundary on one side of the ground.</t>
  </si>
  <si>
    <t xml:space="preserve">Litton Das</t>
  </si>
  <si>
    <t xml:space="preserve">Rohan Pandit</t>
  </si>
  <si>
    <t xml:space="preserve">Temp: WION forecast. Condition: Possible11 forecast. Pitch/boundary note: ESPN toss report.</t>
  </si>
  <si>
    <t xml:space="preserve">AC2025-04</t>
  </si>
  <si>
    <t xml:space="preserve">A little grass on the wicket; consistent bounce and carry, with pacers getting bounce and a hint of movement early before it flattens out.</t>
  </si>
  <si>
    <t xml:space="preserve">Oman</t>
  </si>
  <si>
    <t xml:space="preserve">Mohammad Haris</t>
  </si>
  <si>
    <t xml:space="preserve">93 Runs</t>
  </si>
  <si>
    <t xml:space="preserve">Condition: WION forecast. Pitch: Cricket Times and Dynamite News previews.</t>
  </si>
  <si>
    <t xml:space="preserve">AC2025-05</t>
  </si>
  <si>
    <t xml:space="preserve">Balanced contest; offers just enough grip for spinners in the middle overs.</t>
  </si>
  <si>
    <t xml:space="preserve">Kamil Mishara</t>
  </si>
  <si>
    <t xml:space="preserve">Pitch: Cricket Times preview. No weather data found for this match.</t>
  </si>
  <si>
    <t xml:space="preserve">AC2025-06</t>
  </si>
  <si>
    <t xml:space="preserve">40 / 30 deg C</t>
  </si>
  <si>
    <t xml:space="preserve">Fresh surface helping fast bowlers early, with seam movement for the right lengths; easier for batters in the middle overs. Described as a fair contest with help for seamers and spinners.</t>
  </si>
  <si>
    <t xml:space="preserve">Condition: Wisden. Temp (day high / night), humidity: Gulf News forecast. Wind (forecast maximum 33 km/h): Free Press Journal. Pitch: Free Press Journal, Gulf News.</t>
  </si>
  <si>
    <t xml:space="preserve">AC2025-07</t>
  </si>
  <si>
    <t xml:space="preserve">7th Match, Group A</t>
  </si>
  <si>
    <t xml:space="preserve">Monday</t>
  </si>
  <si>
    <t xml:space="preserve">4 PM (GST), 6 PM (BST)</t>
  </si>
  <si>
    <t xml:space="preserve">Slow and low with plenty for spinners; player of the match said the ball was not coming onto the bat in the 4 PM start.</t>
  </si>
  <si>
    <t xml:space="preserve">Alishan Sharafu</t>
  </si>
  <si>
    <t xml:space="preserve">42 Runs</t>
  </si>
  <si>
    <t xml:space="preserve">Condition: Wisden. Pitch: Business Standard; ESPNcricinfo post-match comments (Sharafu).</t>
  </si>
  <si>
    <t xml:space="preserve">AC2025-08</t>
  </si>
  <si>
    <t xml:space="preserve">8th Match, Group B</t>
  </si>
  <si>
    <t xml:space="preserve">Called a good Dubai deck by the Sri Lanka captain; tends to slow down as the match goes on, giving spinners a bigger role.</t>
  </si>
  <si>
    <t xml:space="preserve">Pathum Nissanka</t>
  </si>
  <si>
    <t xml:space="preserve">Condition: Wisden. Pitch: Ada Derana toss report, Cricket Times preview.</t>
  </si>
  <si>
    <t xml:space="preserve">AC2025-09</t>
  </si>
  <si>
    <t xml:space="preserve">9th Match, Group B</t>
  </si>
  <si>
    <t xml:space="preserve">Has helped teams batting first; slows as the game progresses so bowlers dominate the second half under lights. Dew was not an issue because of the heat.</t>
  </si>
  <si>
    <t xml:space="preserve">Nasum Ahmed</t>
  </si>
  <si>
    <t xml:space="preserve">8 Runs</t>
  </si>
  <si>
    <t xml:space="preserve">Condition: Wisden. Pitch: CricTracker preview.</t>
  </si>
  <si>
    <t xml:space="preserve">AC2025-10</t>
  </si>
  <si>
    <t xml:space="preserve">10th Match, Group A</t>
  </si>
  <si>
    <t xml:space="preserve">Balanced contest between bat and ball.</t>
  </si>
  <si>
    <t xml:space="preserve">Shaheen Afridi</t>
  </si>
  <si>
    <t xml:space="preserve">41 Runs</t>
  </si>
  <si>
    <t xml:space="preserve">Condition: Wisden. Pitch: WION preview.</t>
  </si>
  <si>
    <t xml:space="preserve">AC2025-11</t>
  </si>
  <si>
    <t xml:space="preserve">11th Match, Group B</t>
  </si>
  <si>
    <t xml:space="preserve">~38-40 deg C</t>
  </si>
  <si>
    <t xml:space="preserve">Clear (forecast: dry)</t>
  </si>
  <si>
    <t xml:space="preserve">Balanced: batters have the better of it early, spinners later; some early movement for fast bowlers under lights.</t>
  </si>
  <si>
    <t xml:space="preserve">Temp/condition: Outlook India forecast. Humidity: WION forecast. Pitch: Outlook India, WION, Sony LIV.</t>
  </si>
  <si>
    <t xml:space="preserve">AC2025-12</t>
  </si>
  <si>
    <t xml:space="preserve">12th Match, Group A</t>
  </si>
  <si>
    <t xml:space="preserve">Balanced contest; runs tend to come faster in the first half of the match.</t>
  </si>
  <si>
    <t xml:space="preserve">Sanju Samson</t>
  </si>
  <si>
    <t xml:space="preserve">21 Runs</t>
  </si>
  <si>
    <t xml:space="preserve">Condition: Wisden. Pitch: CricTracker, WION previews.</t>
  </si>
  <si>
    <t xml:space="preserve">AC2025-13</t>
  </si>
  <si>
    <t xml:space="preserve">13th Match, Super Four (B1 v B2)</t>
  </si>
  <si>
    <t xml:space="preserve">Even bounce, with possible evening dew helping the chasing side.</t>
  </si>
  <si>
    <t xml:space="preserve">Saif Hassan</t>
  </si>
  <si>
    <t xml:space="preserve">Condition: Wisden. Pitch: Sony LIV preview.</t>
  </si>
  <si>
    <t xml:space="preserve">AC2025-14</t>
  </si>
  <si>
    <t xml:space="preserve">14th Match, Super Four (A1 v A2)</t>
  </si>
  <si>
    <t xml:space="preserve">Venue-level note only (no match-specific report found): Dubai surface generally gives a balanced contest between bat and ball.</t>
  </si>
  <si>
    <t xml:space="preserve">Abhishek Sharma</t>
  </si>
  <si>
    <t xml:space="preserve">Condition: Wisden. Pitch: WION venue description.</t>
  </si>
  <si>
    <t xml:space="preserve">AC2025-15</t>
  </si>
  <si>
    <t xml:space="preserve">15th Match, Super Four (A2 v B1)</t>
  </si>
  <si>
    <t xml:space="preserve">Pakistan captain called it a good wicket and did not expect it to change during the game.</t>
  </si>
  <si>
    <t xml:space="preserve">Hussain Talat</t>
  </si>
  <si>
    <t xml:space="preserve">Pitch: IANS toss report. No weather data found for this match.</t>
  </si>
  <si>
    <t xml:space="preserve">AC2025-16</t>
  </si>
  <si>
    <t xml:space="preserve">16th Match, Super Four (A1 v B2)</t>
  </si>
  <si>
    <t xml:space="preserve">Generally dry; batter-friendly in recent matches, with chasing sides having the advantage (5 of 7 earlier Dubai games won by the chasing team).</t>
  </si>
  <si>
    <t xml:space="preserve">Condition: Wisden. Wind (forecast): Sportskeeda. Pitch: Sportskeeda, CricTracker.</t>
  </si>
  <si>
    <t xml:space="preserve">AC2025-17</t>
  </si>
  <si>
    <t xml:space="preserve">17th Match, Super Four (A2 v B2)</t>
  </si>
  <si>
    <t xml:space="preserve">Assists bowlers early, then slows down as the match progresses; most Dubai games this tournament were won by the chasing side.</t>
  </si>
  <si>
    <t xml:space="preserve">11 Runs</t>
  </si>
  <si>
    <t xml:space="preserve">Condition: Wisden. Pitch: Cricket Times preview.</t>
  </si>
  <si>
    <t xml:space="preserve">AC2025-18</t>
  </si>
  <si>
    <t xml:space="preserve">18th Match, Super Four (A1 v B1)</t>
  </si>
  <si>
    <t xml:space="preserve">Batter-friendly in recent matches; a true surface with some early seam and later spin, with possible dew.</t>
  </si>
  <si>
    <t xml:space="preserve">Super Over</t>
  </si>
  <si>
    <t xml:space="preserve">Condition: Wisden. Pitch: CricTracker, Sony LIV previews.</t>
  </si>
  <si>
    <t xml:space="preserve">AC2025-19</t>
  </si>
  <si>
    <t xml:space="preserve">38-43 deg C (daytime)</t>
  </si>
  <si>
    <t xml:space="preserve">Balanced; offers help to a variety of bowling styles. Dew was not a major factor in the tournament, and Dubai has traditionally favoured chasing sides.</t>
  </si>
  <si>
    <t xml:space="preserve">Tilak Varma</t>
  </si>
  <si>
    <t xml:space="preserve">Condition: Wisden. Temp (daytime): Gulf News citing the National Center of Meteorology forecast. Pitch: Gulf News, Outlook India.</t>
  </si>
  <si>
    <t xml:space="preserve">Team 1 Score Summary</t>
  </si>
  <si>
    <t xml:space="preserve">Team 1 Total Runs</t>
  </si>
  <si>
    <t xml:space="preserve">Team 1 Wickets Lost</t>
  </si>
  <si>
    <t xml:space="preserve">Team 1 Overs</t>
  </si>
  <si>
    <t xml:space="preserve">Team 1 Byes</t>
  </si>
  <si>
    <t xml:space="preserve">Team 1 Leg Byes</t>
  </si>
  <si>
    <t xml:space="preserve">Team 1 Wides</t>
  </si>
  <si>
    <t xml:space="preserve">Team 1 No Balls</t>
  </si>
  <si>
    <t xml:space="preserve">Team 1 Powerplay Runs</t>
  </si>
  <si>
    <t xml:space="preserve">Team 1 Powerplay Overs</t>
  </si>
  <si>
    <t xml:space="preserve">Team 1 Fours</t>
  </si>
  <si>
    <t xml:space="preserve">Team 1 Sixes</t>
  </si>
  <si>
    <t xml:space="preserve">Team 1 Top Scorer</t>
  </si>
  <si>
    <t xml:space="preserve">Team 1 Top Wicket Taker</t>
  </si>
  <si>
    <t xml:space="preserve">Team 1 Coach</t>
  </si>
  <si>
    <t xml:space="preserve">Team 1 Playing XI</t>
  </si>
  <si>
    <t xml:space="preserve">Team 1 Batting Card (R/B/4s/6s)</t>
  </si>
  <si>
    <t xml:space="preserve">Team 1 Bowling Card (O-M-R-W)</t>
  </si>
  <si>
    <t xml:space="preserve">Team 1 Fall of Wickets</t>
  </si>
  <si>
    <t xml:space="preserve">Team 2 Score Summary</t>
  </si>
  <si>
    <t xml:space="preserve">Team 2 Total Runs</t>
  </si>
  <si>
    <t xml:space="preserve">Team 2 Wickets Lost</t>
  </si>
  <si>
    <t xml:space="preserve">Team 2 Overs</t>
  </si>
  <si>
    <t xml:space="preserve">Team 2 Byes</t>
  </si>
  <si>
    <t xml:space="preserve">Team 2 Leg Byes</t>
  </si>
  <si>
    <t xml:space="preserve">Team 2 Wides</t>
  </si>
  <si>
    <t xml:space="preserve">Team 2 No Balls</t>
  </si>
  <si>
    <t xml:space="preserve">Team 2 Powerplay Runs</t>
  </si>
  <si>
    <t xml:space="preserve">Team 2 Powerplay Overs</t>
  </si>
  <si>
    <t xml:space="preserve">Team 2 Fours</t>
  </si>
  <si>
    <t xml:space="preserve">Team 2 Sixes</t>
  </si>
  <si>
    <t xml:space="preserve">Team 2 Top Scorer</t>
  </si>
  <si>
    <t xml:space="preserve">Team 2 Top Wicket Taker</t>
  </si>
  <si>
    <t xml:space="preserve">Team 2 Coach</t>
  </si>
  <si>
    <t xml:space="preserve">Team 2 Playing XI</t>
  </si>
  <si>
    <t xml:space="preserve">Team 2 Batting Card (R/B/4s/6s)</t>
  </si>
  <si>
    <t xml:space="preserve">Team 2 Bowling Card (O-M-R-W)</t>
  </si>
  <si>
    <t xml:space="preserve">Team 2 Fall of Wickets</t>
  </si>
  <si>
    <t xml:space="preserve">Team 1 Boundary Runs</t>
  </si>
  <si>
    <t xml:space="preserve">Team 2 Boundary Runs</t>
  </si>
  <si>
    <t xml:space="preserve">Team 1 Boundary %</t>
  </si>
  <si>
    <t xml:space="preserve">Team 2 Boundary %</t>
  </si>
  <si>
    <t xml:space="preserve">Team 1 Run Rate</t>
  </si>
  <si>
    <t xml:space="preserve">Team 2 Run Rate</t>
  </si>
  <si>
    <t xml:space="preserve">Total Fours</t>
  </si>
  <si>
    <t xml:space="preserve">Total Sixes</t>
  </si>
  <si>
    <t xml:space="preserve">188/6 (20)</t>
  </si>
  <si>
    <t xml:space="preserve">0.1-6</t>
  </si>
  <si>
    <t xml:space="preserve">Sediqullah Atal (73*)</t>
  </si>
  <si>
    <t xml:space="preserve">Fazalhaq Farooqi (2/16)</t>
  </si>
  <si>
    <t xml:space="preserve">Jonathan Trott</t>
  </si>
  <si>
    <t xml:space="preserve">Rahmanullah Gurbaz (wk), Sediqullah Atal, Ibrahim Zadran, Gulbadin Naib, Azmatullah Omarzai, Mohammad Nabi, Karim Janat, Rashid Khan (c), Noor Ahmad, AM Ghazanfar, Fazalhaq Farooqi</t>
  </si>
  <si>
    <t xml:space="preserve">Atal(73*/52/5/3), Gurbaz(8/5/1/0), Zadran(1/4/0/0), Nabi(33/26/3/2), Gulbadin(5/8/0/0), Azmatullah(53/21/2/5), Janat(2/3/0/0), R.Khan(3*/1/0/0)</t>
  </si>
  <si>
    <t xml:space="preserve">Farooqi(3-1-16-2), Azmatullah(2-0-4-1), Ghazanfar(2-0-4-0), R.Khan(4-0-24-1), Noor(4-0-16-1), Gulbadin(3-0-8-2), Janat(2-0-21-0)</t>
  </si>
  <si>
    <t xml:space="preserve">25-1(2.2), 26-2(3.2), 77-3(10.1), 95-4(12.6), 177-5(18.5), 184-6(19.4)</t>
  </si>
  <si>
    <t xml:space="preserve">94/9 (20)</t>
  </si>
  <si>
    <t xml:space="preserve">Babar Hayat (39)</t>
  </si>
  <si>
    <t xml:space="preserve">Ayush Shukla (2/54)</t>
  </si>
  <si>
    <t xml:space="preserve">Kaushal Silva</t>
  </si>
  <si>
    <t xml:space="preserve">Zeeshan Ali (wk), Babar Hayat, Anshuman Rath, Kalhan Challu, Nizakat Khan, Aizaz Khan, Kinchit Shah, Yasim Murtaza (c), Ayush Shukla, Ateeq Iqbal, Ehsan Khan</t>
  </si>
  <si>
    <t xml:space="preserve">Z.Ali(5/6/1/0), Rath(0/1/0/0), Hayat(39/43/3/0), N.Khan(0/0/0/0), Challu(4/8/0/0), K.Shah(6/10/0/0), Murtaza(16/26/1/0), A.Khan(6/10/0/0), E.Khan(6/11/1/0), Shukla(1*/2/0/0), Iqbal(1*/3/0/0)</t>
  </si>
  <si>
    <t xml:space="preserve">Shukla(4-0-54-2), Iqbal(3-0-32-1), E.Khan(4-0-28-1), A.Khan(2-0-26-2), Murtaza(4-0-23-0), K.Shah(3-0-24-2)</t>
  </si>
  <si>
    <t xml:space="preserve">1-1(0.2), 12-2(1.6), 13-3(2.2), 22-4(4.3), 43-5(9.5), 63-6(12.5), 78-7(16.2), 91-8(18.4), 93-9(19.2)</t>
  </si>
  <si>
    <t xml:space="preserve">57/10 (13.1)</t>
  </si>
  <si>
    <t xml:space="preserve">Alishan Sharafu (22)</t>
  </si>
  <si>
    <t xml:space="preserve">Kuldeep Yadav (4/7)</t>
  </si>
  <si>
    <t xml:space="preserve">Lalchand Rajput</t>
  </si>
  <si>
    <t xml:space="preserve">Muhammad Waseem (c), Alishan Sharafu, Muhammad Zohaib, Rahul Chopra (wk), Asif Khan, Harshit Kaushik, Dhruv Parashar, Haider Ali, Muhammad Rohid Khan, Junaid Siddique, Simranjeet Singh</t>
  </si>
  <si>
    <t xml:space="preserve">Sharafu(22/17/3/1), Waseem(19/22/1/0), Zohaib(2/5/0/0), Chopra(3/7/0/0), A.Khan(2/7/0/0), Kaushik(2/2/0/0), Parashar(1/7/0/0), Singh(1/5/0/0), H.Ali(1/2/0/0), Siddique(0/3/0/0), R.Khan(2*/2/0/0)</t>
  </si>
  <si>
    <t xml:space="preserve">H.Ali(1-0-10-0), R.Khan(1-0-15-1), Parashar(1-0-13-1), Siddique(1-0-16-1), Singh(0.3-0-6-0)</t>
  </si>
  <si>
    <t xml:space="preserve">26-1(3.4), 29-2(4.4), 47-3(8.1), 48-4(8.4), 50-5(8.6), 51-6(10.3), 52-7(11.2), 54-8(12.1), 55-9(12.4), 57-10(13.1)</t>
  </si>
  <si>
    <t xml:space="preserve">60/1 (4.3)</t>
  </si>
  <si>
    <t xml:space="preserve">Abhishek Sharma (30)</t>
  </si>
  <si>
    <t xml:space="preserve">Gautam Gambhir</t>
  </si>
  <si>
    <t xml:space="preserve">Abhishek Sharma, Shubman Gill, Suryakumar Yadav (c), Tilak Varma, Sanju Samson (wk), Shivam Dube, Hardik Pandya, Axar Patel, Kuldeep Yadav, Jasprit Bumrah, Varun Chakaravarthy</t>
  </si>
  <si>
    <t xml:space="preserve">Sharma(30/16/3/2), Gill(20*/9/2/0), Yadav(7*/2/0/1)</t>
  </si>
  <si>
    <t xml:space="preserve">Pandya(1-0-10-0), Bumrah(3-0-19-1), Axar(3-0-13-1), Varun(2-0-4-1), Kuldeep(2.1-0-7-4), Dube(2-0-4-3)</t>
  </si>
  <si>
    <t xml:space="preserve">48-1(3.5)</t>
  </si>
  <si>
    <t xml:space="preserve">143/7 (20)</t>
  </si>
  <si>
    <t xml:space="preserve">Yasim Murtaza (28)</t>
  </si>
  <si>
    <t xml:space="preserve">Ateeq Iqbal (2/14)</t>
  </si>
  <si>
    <t xml:space="preserve">Zeeshan Ali (wk), Anshuman Rath, Babar Hayat, Nizakat Khan, Kalhan Challu, Kinchit Shah, Yasim Murtaza (c), Aizaz Khan, Ehsan Khan, Ayush Shukla, Ateeq Iqbal</t>
  </si>
  <si>
    <t xml:space="preserve">Z.Ali(30/34/3/1), Rath(4/5/1/0), Hayat(14/12/1/1), N.Khan(42/40/4/0), Murtaza(28/19/2/2), A.Khan(5/6/1/0), K.Shah(0/1/0/0), Challu(4*/3/1/0), E.Khan(2*/2/0/0)</t>
  </si>
  <si>
    <t xml:space="preserve">Shukla(3-0-32-1), Iqbal(3.4-0-14-2), E.Khan(3-0-28-0), Murtaza(4-0-39-0), A.Khan(3-0-14-0), K.Shah(1-0-11-0)</t>
  </si>
  <si>
    <t xml:space="preserve">7-1(1.3), 30-2(4.4), 71-3(11.3), 117-4(17.1), 134-5(18.5), 134-6(18.6), 136-7(19.2)</t>
  </si>
  <si>
    <t xml:space="preserve">144/3 (17.4)</t>
  </si>
  <si>
    <t xml:space="preserve">Litton Das (59)</t>
  </si>
  <si>
    <t xml:space="preserve">Tanzim Hasan Sakib (2/21)</t>
  </si>
  <si>
    <t xml:space="preserve">Phil Simmons</t>
  </si>
  <si>
    <t xml:space="preserve">Parvez Hossain Emon, Tanzid Hasan Tamim, Litton Das (c &amp; wk), Towhid Hridoy, Shamim Hossain, Jaker Ali, Mahedi Hasan, Rishad Hossain, Tanzim Hasan Sakib, Taskin Ahmed, Mustafizur Rahman</t>
  </si>
  <si>
    <t xml:space="preserve">Emon(19/14/3/1), Tamim(14/18/2/0), Das(59/39/6/3), Hridoy(35*/36/3/1), J.Ali(0*/1/0/0)</t>
  </si>
  <si>
    <t xml:space="preserve">Mahedi(4-0-28-0), Taskin(4-0-38-2), Tanzim(4-1-21-2), Mustafizur(4-0-22-0), Rishad(4-0-31-2)</t>
  </si>
  <si>
    <t xml:space="preserve">24-1(2.6), 47-2(5.4), 142-3(17.1)</t>
  </si>
  <si>
    <t xml:space="preserve">160/7 (20)</t>
  </si>
  <si>
    <t xml:space="preserve">Mohammad Haris (66)</t>
  </si>
  <si>
    <t xml:space="preserve">Shah Faisal (3/34)</t>
  </si>
  <si>
    <t xml:space="preserve">Mike Hesson</t>
  </si>
  <si>
    <t xml:space="preserve">Saim Ayub, Sahibzada Farhan, Mohammad Haris (wk), Fakhar Zaman, Salman Agha (c), Hasan Nawaz, Mohammad Nawaz, Faheem Ashraf, Shaheen Afridi, Sufiyan Muqeem, Abrar Ahmed</t>
  </si>
  <si>
    <t xml:space="preserve">Farhan(29/29/2/1), Ayub(0/1/0/0), Haris(66/43/6/4), Zaman(23*/16/1/2), Agha(0/1/0/0), H.Nawaz(9/15/0/0), M.Nawaz(19/10/1/2), Ashraf(8/4/1/0), Afridi(2*/1/0/0)</t>
  </si>
  <si>
    <t xml:space="preserve">Afridi(4-0-20-1), Ayub(2-0-8-2), Abrar(3.4-1-12-1), M.Nawaz(2-0-13-1), Muqeem(3-0-7-3), Ashraf(2-0-6-2)</t>
  </si>
  <si>
    <t xml:space="preserve">4-1(0.2), 89-2(10.6), 102-3(12.5), 102-4(12.6), 120-5(16.4), 148-6(18.6), 158-7(19.5)</t>
  </si>
  <si>
    <t xml:space="preserve">67/10 (16.4)</t>
  </si>
  <si>
    <t xml:space="preserve">Hammad Mirza (27)</t>
  </si>
  <si>
    <t xml:space="preserve">Sufiyan Muqeem (3/7)</t>
  </si>
  <si>
    <t xml:space="preserve">Duleep Mendis</t>
  </si>
  <si>
    <t xml:space="preserve">Jatinder Singh (c), Aamir Kaleem, Hammad Mirza, Vinayak Shukla (wk), Shah Faisal, Hassnain Shah, Mohammad Nadeem, Zikria Islam, Sufyan Mehmood, Shakeel Ahmed, Samay Shrivastava</t>
  </si>
  <si>
    <t xml:space="preserve">Kaleem(13/11/1/1), J.Singh(1/3/0/0), Mirza(27/23/2/3), Nadeem(3/7/0/0), Mehmood(1/5/0/0), Shukla(2/4/0/0), Z.Islam(0/8/0/0), Faisal(1/3/0/0), Shakeel(10/23/1/0), H.Shah(1/2/0/0), Shrivastava(5*/11/1/0)</t>
  </si>
  <si>
    <t xml:space="preserve">Faisal(4-0-34-3), Shakeel(4-0-17-0), Nadeem(3-0-23-1), Kaleem(4-0-31-3), Shrivastava(1-0-12-0), H.Shah(3-0-31-0), Mehmood(1-0-12-0)</t>
  </si>
  <si>
    <t xml:space="preserve">2-1(1.1), 24-2(3.1), 41-3(6.3), 42-4(7.2), 49-5(8.3), 49-6(8.5), 50-7(10.3), 50-8(11.1), 51-9(12.1), 67-10(16.4)</t>
  </si>
  <si>
    <t xml:space="preserve">139/5 (20)</t>
  </si>
  <si>
    <t xml:space="preserve">Jaker Ali (41*)</t>
  </si>
  <si>
    <t xml:space="preserve">Mustafizur Rahman (2/35)</t>
  </si>
  <si>
    <t xml:space="preserve">Parvez Hossain Emon, Tanzid Hasan Tamim, Litton Das (c &amp; wk), Towhid Hridoy, Jaker Ali, Shamim Hossain, Mahedi Hasan, Rishad Hossain, Tanzim Hasan Sakib, Shoriful Islam, Mustafizur Rahman</t>
  </si>
  <si>
    <t xml:space="preserve">Tamim(0/6/0/0), Emon(0/4/0/0), Das(28/26/2/1), Hridoy(8/9/1/0), Mahedi(9/7/1/0), J.Ali(41*/34/3/2), Shamim(42*/34/3/4)</t>
  </si>
  <si>
    <t xml:space="preserve">Shoriful(3-0-26-0), Mustafizur(3-0-35-2), Tanzim(3-0-23-1), Mahedi(4-0-29-2), Rishad(1-0-18-0), Shamim(0.4-0-4-0)</t>
  </si>
  <si>
    <t xml:space="preserve">0-1(0.6), 0-2(1.4), 11-3(4.3), 38-4(7.2), 53-5(9.5)</t>
  </si>
  <si>
    <t xml:space="preserve">140/4 (14.4)</t>
  </si>
  <si>
    <t xml:space="preserve">Pathum Nissanka (50)</t>
  </si>
  <si>
    <t xml:space="preserve">Nuwan Thushara (1/17)</t>
  </si>
  <si>
    <t xml:space="preserve">Sanath Jayasuriya</t>
  </si>
  <si>
    <t xml:space="preserve">Pathum Nissanka, Kusal Mendis (wk), Kamil Mishara, Kusal Perera, Charith Asalanka (c), Kamindu Mendis, Dasun Shanaka, Wanindu Hasaranga, Dushmantha Chameera, Matheesha Pathirana, Nuwan Thushara</t>
  </si>
  <si>
    <t xml:space="preserve">Nissanka(50/34/5/3), K.Mendis(3/6/0/0), Mishara(46*/32/4/2), Perera(9/9/1/0), Shanaka(1/3/0/0), Asalanka(10*/4/1/1)</t>
  </si>
  <si>
    <t xml:space="preserve">Thushara(4-1-17-1), Chameera(4-1-17-1), Shanaka(3-0-27-0), Pathirana(4-0-42-0), Hasaranga(4-0-25-2), Asalanka(1-0-6-0)</t>
  </si>
  <si>
    <t xml:space="preserve">13-1(1.5), 108-2(10.3), 123-3(12.3), 126-4(13.2)</t>
  </si>
  <si>
    <t xml:space="preserve">127/9 (20)</t>
  </si>
  <si>
    <t xml:space="preserve">Sahibzada Farhan (40)</t>
  </si>
  <si>
    <t xml:space="preserve">Saim Ayub (3/35)</t>
  </si>
  <si>
    <t xml:space="preserve">Sahibzada Farhan, Saim Ayub, Mohammad Haris (wk), Fakhar Zaman, Salman Agha (c), Hasan Nawaz, Mohammad Nawaz, Faheem Ashraf, Shaheen Afridi, Sufiyan Muqeem, Abrar Ahmed</t>
  </si>
  <si>
    <t xml:space="preserve">Farhan(40/44/4/1), Ayub(0/1/0/0), Haris(3/5/0/0), Zaman(17/15/1/1), Agha(3/12/0/0), H.Nawaz(5/7/1/0), M.Nawaz(0/1/0/0), Ashraf(11/14/1/0), Afridi(33*/16/3/4), Muqeem(10/6/1/1), Abrar(0*/0/0/0)</t>
  </si>
  <si>
    <t xml:space="preserve">Afridi(2-0-23-0), Ayub(4-0-35-3), Abrar(4-0-16-0), M.Nawaz(3-0-27-0), Muqeem(2.5-0-29-0)</t>
  </si>
  <si>
    <t xml:space="preserve">1-1(0.1), 6-2(1.2), 45-3(7.4), 49-4(9.6), 64-5(12.4), 64-6(12.5), 83-7(16.1), 97-8(17.4), 111-9(18.6)</t>
  </si>
  <si>
    <t xml:space="preserve">131/3 (15.5)</t>
  </si>
  <si>
    <t xml:space="preserve">Suryakumar Yadav (47*)</t>
  </si>
  <si>
    <t xml:space="preserve">Kuldeep Yadav (3/18)</t>
  </si>
  <si>
    <t xml:space="preserve">Sharma(31/13/4/3), Gill(10/7/2/0), Yadav(47*/37/5/2), Varma(31/31/3/1), Dube(10*/7/0/1)</t>
  </si>
  <si>
    <t xml:space="preserve">Pandya(3-0-34-1), Bumrah(4-0-28-2), Varun(4-0-24-1), Kuldeep(4-0-18-3), Axar(4-0-18-2), Sharma(1-0-5-0)</t>
  </si>
  <si>
    <t xml:space="preserve">22-1(1.6), 41-2(3.4), 97-3(12.2)</t>
  </si>
  <si>
    <t xml:space="preserve">172/5 (20)</t>
  </si>
  <si>
    <t xml:space="preserve">Muhammad Waseem (69)</t>
  </si>
  <si>
    <t xml:space="preserve">Junaid Siddique (4/23)</t>
  </si>
  <si>
    <t xml:space="preserve">Alishan Sharafu, Muhammad Waseem (c), Muhammad Zohaib, Rahul Chopra (wk), Asif Khan, Harshit Kaushik, Dhruv Parashar, Haider Ali, Muhammad Rohid Khan, Jawadullah, Junaid Siddique</t>
  </si>
  <si>
    <t xml:space="preserve">Sharafu(51/38/7/3), Waseem(69/54/5/4), A.Khan(2/5/0/0), Zohaib(21/13/2/1), Kaushik(19*/8/1/2), Chopra(0/1/0/0), Parashar(1*/1/0/0)</t>
  </si>
  <si>
    <t xml:space="preserve">Siddique(4-0-23-4), R.Khan(2.4-0-27-1), H.Ali(4-0-22-2), Parashar(2-0-14-0), Kaushik(3-0-23-0), Jawadullah(3-0-18-1)</t>
  </si>
  <si>
    <t xml:space="preserve">88-1(10.6), 96-2(12.6), 145-3(17.5), 171-4(19.3), 171-5(19.4)</t>
  </si>
  <si>
    <t xml:space="preserve">130/10 (18.4)</t>
  </si>
  <si>
    <t xml:space="preserve">Aryan Bisht (24)</t>
  </si>
  <si>
    <t xml:space="preserve">Samay Shrivastava (3/38)</t>
  </si>
  <si>
    <t xml:space="preserve">Jatinder Singh (c), Aamir Kaleem, Hammad Mirza, Vinayak Shukla (wk), Wasim Ali, Hassnain Shah, Shah Faisal, Jiten Ramanandi, Aryan Bisht, Shakeel Ahmed, Samay Shrivastava</t>
  </si>
  <si>
    <t xml:space="preserve">J.Singh(20/10/2/1), Kaleem(2/2/0/0), Mirza(5/7/1/0), W.Ali(1/2/0/0), Faisal(9/12/1/0), Bisht(24/32/3/2), Shukla(20/17/2/1), Ramanandi(13/9/2/1), H.Shah(0/3/0/0), Shakeel(14*/10/1/1), Shrivastava(6/8/1/0)</t>
  </si>
  <si>
    <t xml:space="preserve">Shakeel(3-0-16-0), Faisal(4-0-45-0), Kaleem(1-0-14-0), H.Shah(4-0-34-1), Ramanandi(4-0-24-1), Shrivastava(4-0-38-3)</t>
  </si>
  <si>
    <t xml:space="preserve">7-1(0.5), 23-2(2.2), 28-3(3.1), 32-4(4.3), 50-5(6.5), 88-6(12.5), 104-7(14.5), 108-8(15.2), 110-9(15.5), 130-10(18.4)</t>
  </si>
  <si>
    <t xml:space="preserve">149/4 (20)</t>
  </si>
  <si>
    <t xml:space="preserve">Nizakat Khan (52*)</t>
  </si>
  <si>
    <t xml:space="preserve">Yasim Murtaza (2/37)</t>
  </si>
  <si>
    <t xml:space="preserve">Zeeshan Ali (wk), Anshuman Rath, Babar Hayat, Nizakat Khan, Shahid Wasif, Kinchit Shah, Yasim Murtaza (c), Aizaz Khan, Ayush Shukla, Ehsan Khan, Ateeq Iqbal</t>
  </si>
  <si>
    <t xml:space="preserve">Z.Ali(23/17/2/1), Rath(48/46/4/0), Hayat(4/10/0/0), N.Khan(52*/38/4/2), Murtaza(5/4/1/0), A.Khan(4*/6/1/0)</t>
  </si>
  <si>
    <t xml:space="preserve">Murtaza(4-0-37-2), Shukla(3-0-30-1), Iqbal(2.5-0-18-0), E.Khan(4-0-25-1), K.Shah(2-0-15-0), A.Khan(3-0-27-1)</t>
  </si>
  <si>
    <t xml:space="preserve">41-1(4.5), 57-2(8.4), 118-3(15.5), 127-4(17.2)</t>
  </si>
  <si>
    <t xml:space="preserve">153/6 (18.5)</t>
  </si>
  <si>
    <t xml:space="preserve">Pathum Nissanka (68)</t>
  </si>
  <si>
    <t xml:space="preserve">Dushmantha Chameera (2/29)</t>
  </si>
  <si>
    <t xml:space="preserve">Pathum Nissanka, Kusal Mendis (wk), Kamil Mishara, Kusal Perera, Charith Asalanka (c), Kamindu Mendis, Dasun Shanaka, Wanindu Hasaranga, Maheesh Theekshana, Dushmantha Chameera, Nuwan Thushara</t>
  </si>
  <si>
    <t xml:space="preserve">Nissanka(68/44/6/4), K.Mendis(11/14/1/0), Mishara(19/18/1/1), Perera(20/16/1/1), Shanaka(6*/3/1/0), Asalanka(2/5/0/0), K.Mendis(5/5/1/0), Hasaranga(20*/9/2/2)</t>
  </si>
  <si>
    <t xml:space="preserve">Thushara(4-0-36-0), Chameera(4-0-29-2), Theekshana(4-0-22-0), Hasaranga(4-0-27-1), Asalanka(3-0-22-0), Shanaka(1-0-5-1)</t>
  </si>
  <si>
    <t xml:space="preserve">26-1(3.6), 62-2(9.3), 119-3(15.1), 119-4(15.2), 122-5(16.2), 127-6(17.1)</t>
  </si>
  <si>
    <t xml:space="preserve">154/5 (20)</t>
  </si>
  <si>
    <t xml:space="preserve">Tanzid Hasan (52)</t>
  </si>
  <si>
    <t xml:space="preserve">Nasum Ahmed (2/11)</t>
  </si>
  <si>
    <t xml:space="preserve">Tanzid Hasan Tamim, Litton Das (c &amp; wk), Saif Hassan, Towhid Hridoy, Jaker Ali, Shamim Hossain, Nurul Hasan, Nasum Ahmed, Rishad Hossain, Mustafizur Rahman, Taskin Ahmed</t>
  </si>
  <si>
    <t xml:space="preserve">Tamim(52/31/5/3), S.Hassan(30/28/2/1), Das(9/11/1/0), Hridoy(26/20/2/1), Shamim(11/11/1/1), J.Ali(12*/13/1/0), N.Hasan(12*/6/2/1)</t>
  </si>
  <si>
    <t xml:space="preserve">Nasum(4-1-11-2), Taskin(4-0-34-2), Mustafizur(4-0-28-2), Rishad(4-0-18-2), Shamim(1-0-16-0), S.Hassan(3-0-39-0)</t>
  </si>
  <si>
    <t xml:space="preserve">63-1(6.4), 87-2(10.1), 104-3(12.5), 121-4(15.3), 139-5(18.1)</t>
  </si>
  <si>
    <t xml:space="preserve">146/10 (20)</t>
  </si>
  <si>
    <t xml:space="preserve">Rahmanullah Gurbaz (35)</t>
  </si>
  <si>
    <t xml:space="preserve">Rashid Khan (2/26)</t>
  </si>
  <si>
    <t xml:space="preserve">Sediqullah Atal, Rahmanullah Gurbaz (wk), Ibrahim Zadran, Mohammad Nabi, Gulbadin Naib, Azmatullah Omarzai, Karim Janat, Rashid Khan (c), Noor Ahmad, AM Ghazanfar, Fazalhaq Farooqi</t>
  </si>
  <si>
    <t xml:space="preserve">Atal(0/1/0/0), Gurbaz(35/31/3/2), Zadran(5/12/1/0), Naib(16/14/1/1), Nabi(15/15/1/1), Azmatullah(30/16/3/2), Janat(6/8/1/0), R.Khan(20/11/2/1), Noor(14/9/2/1), Ghazanfar(0/1/0/0), Farooqi(2*/3/0/0)</t>
  </si>
  <si>
    <t xml:space="preserve">Farooqi(4-0-37-0), Azmatullah(3-0-19-1), Ghazanfar(3-0-32-0), R.Khan(4-0-26-2), Nabi(2-0-17-0), Noor(4-0-23-2)</t>
  </si>
  <si>
    <t xml:space="preserve">0-1(0.1), 18-2(4.1), 51-3(8.3), 62-4(10.2), 77-5(12.6), 109-6(15.4), 124-7(17.1), 132-8(18.2), 132-9(18.3), 146-10(19.6)</t>
  </si>
  <si>
    <t xml:space="preserve">146/9 (20)</t>
  </si>
  <si>
    <t xml:space="preserve">Fakhar Zaman (50)</t>
  </si>
  <si>
    <t xml:space="preserve">Junaid Siddique (4/18)</t>
  </si>
  <si>
    <t xml:space="preserve">Saim Ayub, Sahibzada Farhan, Mohammad Haris (wk), Fakhar Zaman, Salman Agha (c), Khushdil Shah, Hasan Nawaz, Mohammad Nawaz, Shaheen Afridi, Haris Rauf, Abrar Ahmed</t>
  </si>
  <si>
    <t xml:space="preserve">Farhan(5/12/1/0), Ayub(0/2/0/0), Zaman(50/36/5/3), Agha(20/27/2/0), H.Nawaz(3/4/0/0), Khushdil(4/6/1/0), Haris(18/14/1/1), M.Nawaz(4/5/1/0), Afridi(29*/14/2/4), Rauf(0/1/0/0), Abrar(1*/2/0/0)</t>
  </si>
  <si>
    <t xml:space="preserve">Afridi(3-0-16-1), M.Nawaz(3-0-27-0), Rauf(2.4-0-19-2), Abrar(4-0-13-2), Ayub(4-0-18-1), Agha(1-0-9-1)</t>
  </si>
  <si>
    <t xml:space="preserve">3-1(0.5), 9-2(2.4), 70-3(10.6), 86-4(13.1), 88-5(13.4), 93-6(15.1), 110-7(16.5), 128-8(18.5), 146-9(20)</t>
  </si>
  <si>
    <t xml:space="preserve">105/10 (17.4)</t>
  </si>
  <si>
    <t xml:space="preserve">Rahul Chopra (35)</t>
  </si>
  <si>
    <t xml:space="preserve">Simranjeet Singh (3/26)</t>
  </si>
  <si>
    <t xml:space="preserve">Alishan Sharafu, Muhammad Waseem (c), Asif Khan, Muhammad Zohaib, Harshit Kaushik, Rahul Chopra (wk), Dhruv Parashar, Haider Ali, Muhammad Rohid Khan, Simranjeet Singh, Junaid Siddique</t>
  </si>
  <si>
    <t xml:space="preserve">Sharafu(12/8/1/1), Waseem(14/15/1/1), Zohaib(4/9/1/0), Chopra(35/35/3/2), Parashar(20/23/2/1), A.Khan(0/4/0/0), Kaushik(0/1/0/0), H.Ali(6/6/1/0), Singh(1/4/0/0), Siddique(0*/0/0/0), R.Khan(2/1/0/0)</t>
  </si>
  <si>
    <t xml:space="preserve">Siddique(4-0-18-4), R.Khan(4-0-36-0), Parashar(4-0-33-1), H.Ali(4-0-28-0), Singh(4-0-26-3)</t>
  </si>
  <si>
    <t xml:space="preserve">21-1(2.3), 35-2(4.3), 37-3(5.3), 85-4(13.6), 88-5(14.6), 96-6(15.4), 98-7(16.2), 103-8(17.1), 103-9(17.3), 105-10(17.4)</t>
  </si>
  <si>
    <t xml:space="preserve">169/8 (20)</t>
  </si>
  <si>
    <t xml:space="preserve">Rashid Khan (24)</t>
  </si>
  <si>
    <t xml:space="preserve">Nuwan Thushara (4/18)</t>
  </si>
  <si>
    <t xml:space="preserve">Sediqullah Atal, Rahmanullah Gurbaz (wk), Ibrahim Zadran, Darwish Rasooli, Mohammad Nabi, Azmatullah Omarzai, Karim Janat, Rashid Khan (c), Mujeeb Ur Rahman, Noor Ahmad, Fazalhaq Farooqi</t>
  </si>
  <si>
    <t xml:space="preserve">Gurbaz(14/8/2/1), Atal(18/14/2/1), Janat(1/3/0/0), Zadran(24/27/2/1), Rasooli(9/16/1/0), Azmatullah(6/4/1/0), Nabi(60*/22/6/4), R.Khan(24/23/2/1), Noor(6*/4/1/0)</t>
  </si>
  <si>
    <t xml:space="preserve">Farooqi(3-0-38-0), Mujeeb(3.4-0-42-0), Azmatullah(2-0-10-1), Nabi(3-0-20-1), R.Khan(4-0-23-0), Noor(3-0-37-1)</t>
  </si>
  <si>
    <t xml:space="preserve">26-1(2.1), 32-2(2.6), 40-3(4.5), 64-4(10.3), 71-5(11.3), 79-6(12.1), 114-7(17.1), 169-8(20)</t>
  </si>
  <si>
    <t xml:space="preserve">171/4 (18.4)</t>
  </si>
  <si>
    <t xml:space="preserve">Kusal Mendis (74*)</t>
  </si>
  <si>
    <t xml:space="preserve">Pathum Nissanka, Kusal Mendis (wk), Kamil Mishara, Kusal Perera, Charith Asalanka (c), Dasun Shanaka, Kamindu Mendis, Wanindu Hasaranga, Dunith Wellalage, Dushmantha Chameera, Nuwan Thushara</t>
  </si>
  <si>
    <t xml:space="preserve">Nissanka(65/51/6/4), K.Mendis(74*/52/7/2), Mishara(4/10/0/0), Perera(28/20/3/1), Asalanka(17/12/1/2), K.Mendis(26*/13/3/2)</t>
  </si>
  <si>
    <t xml:space="preserve">Thushara(4-0-18-4), Chameera(4-0-50-1), Wellalage(4-0-49-1), Shanaka(4-0-29-1), Hasaranga(4-0-18-0)</t>
  </si>
  <si>
    <t xml:space="preserve">22-1(2.2), 47-2(5.2), 92-3(11.2), 119-4(14.5)</t>
  </si>
  <si>
    <t xml:space="preserve">188/8 (20)</t>
  </si>
  <si>
    <t xml:space="preserve">Sanju Samson (56)</t>
  </si>
  <si>
    <t xml:space="preserve">Kuldeep Yadav (2/23)</t>
  </si>
  <si>
    <t xml:space="preserve">Abhishek Sharma, Shubman Gill, Sanju Samson (wk), Suryakumar Yadav (c), Tilak Varma, Shivam Dube, Hardik Pandya, Axar Patel, Harshit Rana, Arshdeep Singh, Kuldeep Yadav</t>
  </si>
  <si>
    <t xml:space="preserve">Sharma(38/15/3/5), Gill(5/8/1/0), Samson(56/45/4/3), Pandya(1/1/0/0), Axar(26/13/2/2), Dube(5/8/1/0), Varma(29/18/3/1), Rana(13*/8/2/1), Singh(1/1/0/0), Yadav(1*/3/0/0)</t>
  </si>
  <si>
    <t xml:space="preserve">Pandya(4-0-26-1), Singh(4-0-37-1), Rana(3-0-25-1), Kuldeep(3-0-23-2), Axar(1-0-4-0), Dube(3-0-31-0), Varma(1-0-8-0), Sharma(1-0-12-0)</t>
  </si>
  <si>
    <t xml:space="preserve">6-1(1.3), 72-2(7.1), 73-3(7.3), 118-4(11.2), 130-5(13.2), 171-6(17.4), 176-7(18.3), 179-8(19)</t>
  </si>
  <si>
    <t xml:space="preserve">167/4 (20)</t>
  </si>
  <si>
    <t xml:space="preserve">Aamir Kaleem (64)</t>
  </si>
  <si>
    <t xml:space="preserve">Jiten Ramanandi (2/32)</t>
  </si>
  <si>
    <t xml:space="preserve">Aamir Kaleem, Jatinder Singh (c), Hammad Mirza, Vinayak Shukla (wk), Shah Faisal, Zikria Islam, Aryan Bisht, Mohammad Nadeem, Shakeel Ahmed, Samay Shrivastava, Jiten Ramanandi</t>
  </si>
  <si>
    <t xml:space="preserve">J.Singh(32/33/3/2), Kaleem(64/46/6/4), Mirza(51/33/5/3), Z.Islam(0*/2/0/0), Shukla(1/2/0/0), Ramanandi(12*/5/3/0)</t>
  </si>
  <si>
    <t xml:space="preserve">Shakeel(3-0-33-1), Faisal(4-0-23-2), Nadeem(1-0-19-0), Ramanandi(4-0-32-2), Shrivastava(2-0-23-2), Z.Islam(3-0-23-0), Kaleem(3-0-31-0)</t>
  </si>
  <si>
    <t xml:space="preserve">56-1(8.3), 149-2(17.4), 154-3(18.5), 155-4(19.1)</t>
  </si>
  <si>
    <t xml:space="preserve">168/7 (20)</t>
  </si>
  <si>
    <t xml:space="preserve">Dasun Shanaka (64*)</t>
  </si>
  <si>
    <t xml:space="preserve">Wanindu Hasaranga (2/22)</t>
  </si>
  <si>
    <t xml:space="preserve">Nissanka(22/15/3/1), K.Mendis(34/25/3/2), Mishara(5/11/0/0), Perera(16/16/1/1), Shanaka(64*/37/6/3), Asalanka(21/12/2/1), K.Mendis(1/2/0/0), Hasaranga(2/2/0/0), Wellalage(0*/0/0/0)</t>
  </si>
  <si>
    <t xml:space="preserve">Thushara(4-0-42-2), Chameera(4-0-32-1), Wellalage(4-0-36-0), Hasaranga(4-0-22-2), Shanaka(2.5-0-21-1), K.Mendis(1-0-16-0)</t>
  </si>
  <si>
    <t xml:space="preserve">44-1(4.6), 58-2(7.4), 65-3(9.1), 97-4(13.4), 154-5(18.1), 156-6(18.4), 158-7(18.6)</t>
  </si>
  <si>
    <t xml:space="preserve">169/6 (19.5)</t>
  </si>
  <si>
    <t xml:space="preserve">Towhid Hridoy (58)</t>
  </si>
  <si>
    <t xml:space="preserve">Mustafizur Rahman (2/30)</t>
  </si>
  <si>
    <t xml:space="preserve">Saif Hassan, Tanzid Hasan Tamim, Litton Das (c &amp; wk), Towhid Hridoy, Shamim Hossain, Jaker Ali, Mahedi Hasan, Nasum Ahmed, Taskin Ahmed, Shoriful Islam, Mustafizur Rahman</t>
  </si>
  <si>
    <t xml:space="preserve">S.Hassan(61/45/6/4), Tamim(0/2/0/0), Das(23/16/2/1), Hridoy(58/37/5/3), Shamim(14*/12/1/1), J.Ali(9/4/2/0), Mahedi(0/2/0/0), Nasum(1*/1/0/0)</t>
  </si>
  <si>
    <t xml:space="preserve">Shoriful(4-0-49-1), Nasum(4-0-36-0), Taskin(4-0-37-1), Mahedi(4-0-25-2), Mustafizur(4-0-20-2)</t>
  </si>
  <si>
    <t xml:space="preserve">1-1(0.5), 60-2(6.3), 114-3(13.6), 159-4(18.3), 168-5(19.2), 168-6(19.4)</t>
  </si>
  <si>
    <t xml:space="preserve">171/5 (20)</t>
  </si>
  <si>
    <t xml:space="preserve">Sahibzada Farhan (58)</t>
  </si>
  <si>
    <t xml:space="preserve">Haris Rauf (2/26)</t>
  </si>
  <si>
    <t xml:space="preserve">Saim Ayub, Sahibzada Farhan, Fakhar Zaman, Salman Agha (c), Hussain Talat, Mohammad Haris (wk), Mohammad Nawaz, Faheem Ashraf, Shaheen Afridi, Haris Rauf, Abrar Ahmed</t>
  </si>
  <si>
    <t xml:space="preserve">Farhan(58/45/5/4), Zaman(15/9/1/1), Ayub(21/17/2/1), Talat(10/11/1/0), M.Nawaz(21/19/1/1), Agha(17*/13/1/1), Ashraf(20*/8/2/2)</t>
  </si>
  <si>
    <t xml:space="preserve">Afridi(3.5-0-40-0), Ayub(3-0-35-1), Abrar(4-0-42-1), Rauf(4-0-26-2), Ashraf(4-0-31-1)</t>
  </si>
  <si>
    <t xml:space="preserve">21-1(2.3), 93-2(10.3), 110-3(13.1), 115-4(14.1), 149-5(18.3)</t>
  </si>
  <si>
    <t xml:space="preserve">174/4 (18.5)</t>
  </si>
  <si>
    <t xml:space="preserve">Abhishek Sharma (74)</t>
  </si>
  <si>
    <t xml:space="preserve">Shivam Dube (2/33)</t>
  </si>
  <si>
    <t xml:space="preserve">Sharma(74/39/7/6), Gill(47/28/4/3), Yadav(0/3/0/0), Varma(30*/19/3/1), Samson(13/17/1/1), Pandya(7*/7/1/0)</t>
  </si>
  <si>
    <t xml:space="preserve">Pandya(3-0-29-1), Bumrah(4-0-45-1), Varun(4-0-25-0), Kuldeep(4-0-31-1), Axar(1-0-8-0), Dube(4-0-33-2)</t>
  </si>
  <si>
    <t xml:space="preserve">105-1(9.5), 106-2(10.3), 123-3(12.2), 148-4(16.4)</t>
  </si>
  <si>
    <t xml:space="preserve">133/8 (20)</t>
  </si>
  <si>
    <t xml:space="preserve">Kamindu Mendis (50)</t>
  </si>
  <si>
    <t xml:space="preserve">Shaheen Afridi (2/28)</t>
  </si>
  <si>
    <t xml:space="preserve">Pathum Nissanka, Kusal Mendis (wk), Kusal Perera, Charith Asalanka (c), Dasun Shanaka, Kamindu Mendis, Chamika Karunaratne, Wanindu Hasaranga, Maheesh Theekshana, Dushmantha Chameera, Nuwan Thushara</t>
  </si>
  <si>
    <t xml:space="preserve">Nissanka(8/7/1/0), K.Mendis(0/1/0/0), Perera(15/12/1/1), Asalanka(20/19/2/1), K.Mendis(50/44/4/3), Shanaka(0/1/0/0), Hasaranga(15/13/1/1), Karunaratne(17*/21/1/1), Chameera(1/2/0/0), Theekshana(0*/1/0/0)</t>
  </si>
  <si>
    <t xml:space="preserve">Thushara(3-0-29-0), Chameera(4-0-31-1), Theekshana(4-0-24-2), Hasaranga(4-0-27-2), Asalanka(2-0-11-0), Karunaratne(1-0-11-0)</t>
  </si>
  <si>
    <t xml:space="preserve">1-1(0.2), 18-2(2.2), 43-3(5.2), 58-4(7.2), 58-5(7.3), 80-6(12.1), 123-7(18.4), 130-8(19.4)</t>
  </si>
  <si>
    <t xml:space="preserve">138/5 (18)</t>
  </si>
  <si>
    <t xml:space="preserve">Mohammad Nawaz (38*)</t>
  </si>
  <si>
    <t xml:space="preserve">Farhan(24/15/2/1), Zaman(17/19/1/1), Ayub(2/3/0/0), Agha(5/6/1/0), Talat(32*/30/3/2), Haris(13/11/1/1), M.Nawaz(38*/24/3/4)</t>
  </si>
  <si>
    <t xml:space="preserve">Afridi(4-0-28-2), Ashraf(4-0-34-0), Rauf(4-0-37-2), Agha(1-0-5-0), Talat(3-0-18-1), Abrar(4-0-8-1)</t>
  </si>
  <si>
    <t xml:space="preserve">45-1(5.3), 46-2(5.5), 50-3(6.4), 57-4(8.1), 80-5(11.1)</t>
  </si>
  <si>
    <t xml:space="preserve">168/6 (20)</t>
  </si>
  <si>
    <t xml:space="preserve">Abhishek Sharma (75)</t>
  </si>
  <si>
    <t xml:space="preserve">Sharma(75/37/7/6), Gill(29/19/2/1), Dube(2/3/0/0), Yadav(5/11/1/0), Pandya(38/29/2/3), Varma(5/7/1/0), Axar(10*/15/1/0)</t>
  </si>
  <si>
    <t xml:space="preserve">Pandya(2-0-14-0), Bumrah(4-0-18-1), Varun(4-0-29-2), Kuldeep(4-0-18-3), Axar(4-0-37-1), Dube(1-0-10-0), Varma(0.3-0-1-1)</t>
  </si>
  <si>
    <t xml:space="preserve">77-1(6.2), 83-2(8.1), 112-3(11.1), 114-4(11.6), 129-5(14.3), 168-6(19.6)</t>
  </si>
  <si>
    <t xml:space="preserve">127/10 (19.3)</t>
  </si>
  <si>
    <t xml:space="preserve">Saif Hassan (69)</t>
  </si>
  <si>
    <t xml:space="preserve">Rishad Hossain (2/27)</t>
  </si>
  <si>
    <t xml:space="preserve">Saif Hassan, Tanzid Hasan Tamim, Parvez Hossain Emon, Towhid Hridoy, Shamim Hossain, Jaker Ali (c &amp; wk), Mohammad Saifuddin, Rishad Hossain, Tanzim Hasan Sakib, Nasum Ahmed, Mustafizur Rahman</t>
  </si>
  <si>
    <t xml:space="preserve">S.Hassan(69/51/6/5), Tamim(1/3/0/0), Emon(21/19/2/1), Hridoy(7/10/1/0), Shamim(0/3/0/0), J.Ali(4/5/1/0), Saifuddin(4/7/1/0), Rishad(2/3/0/0), Tanzim(0/1/0/0), Nasum(4*/4/1/0), Mustafizur(6/11/1/0)</t>
  </si>
  <si>
    <t xml:space="preserve">Tanzim(4-0-29-1), Nasum(4-0-34-0), Mustafizur(4-0-33-1), Saifuddin(3-0-37-1), Rishad(3-0-27-2), S.Hassan(2-0-7-0)</t>
  </si>
  <si>
    <t xml:space="preserve">4-1(1.2), 46-2(6.2), 65-3(9.4), 74-4(10.4), 87-5(12.3), 109-6(15.2), 112-7(16.1), 112-8(16.2), 116-9(17.2), 127-10(19.3)</t>
  </si>
  <si>
    <t xml:space="preserve">135/8 (20)</t>
  </si>
  <si>
    <t xml:space="preserve">Sahibzada Farhan (44)</t>
  </si>
  <si>
    <t xml:space="preserve">Shaheen Afridi (3/17)</t>
  </si>
  <si>
    <t xml:space="preserve">Sahibzada Farhan, Fakhar Zaman, Saim Ayub, Salman Agha (c), Hussain Talat, Mohammad Haris (wk), Mohammad Nawaz, Faheem Ashraf, Shaheen Afridi, Haris Rauf, Abrar Ahmed</t>
  </si>
  <si>
    <t xml:space="preserve">Farhan(44/10/4/4), Zaman(13/20/2/0), Ayub(0/3/0/0), Agha(19/23/2/1), Talat(3/7/0/0), Haris(31/23/3/2), Afridi(19/13/2/1), M.Nawaz(25/15/2/2), Ashraf(14*/9/1/1), Rauf(3*/3/0/0)</t>
  </si>
  <si>
    <t xml:space="preserve">Afridi(4-0-17-3), Ashraf(2-0-18-0), Rauf(4-0-33-3), Abrar(3-0-23-0), M.Nawaz(3-0-14-1), Ayub(4-0-16-1)</t>
  </si>
  <si>
    <t xml:space="preserve">4-1(0.4), 5-2(1.4), 29-3(6.3), 33-4(8.1), 49-5(10.5), 71-6(13.3), 109-7(17.3), 120-8(18.2)</t>
  </si>
  <si>
    <t xml:space="preserve">124/9 (20)</t>
  </si>
  <si>
    <t xml:space="preserve">Shamim Hossain (30)</t>
  </si>
  <si>
    <t xml:space="preserve">Taskin Ahmed (3/28)</t>
  </si>
  <si>
    <t xml:space="preserve">Saif Hassan, Parvez Hossain Emon, Towhid Hridoy, Shamim Hossain, Jaker Ali (c &amp; wk), Nurul Hasan, Mahedi Hasan, Rishad Hossain, Taskin Ahmed, Tanzim Hasan Sakib, Mustafizur Rahman</t>
  </si>
  <si>
    <t xml:space="preserve">S.Hassan(18/15/1/1), Emon(0/2/0/0), Hridoy(5/10/1/0), Mahedi(11/10/1/1), N.Hasan(16/21/2/1), Shamim(30/25/3/2), J.Ali(5/9/1/0), Tanzim(10/11/1/1), Rishad(16*/11/1/1), Taskin(4/2/1/0), Mustafizur(6*/4/1/0)</t>
  </si>
  <si>
    <t xml:space="preserve">Taskin(4-0-28-3), Mahedi(4-0-28-1), Tanzim(4-0-28-0), Mustafizur(4-0-33-1), Rishad(4-0-18-2)</t>
  </si>
  <si>
    <t xml:space="preserve">1-1(0.5), 23-2(4.2), 29-3(5.1), 44-4(7.6), 63-5(11.4), 73-6(13.5), 97-7(16.5), 97-8(17.2), 101-9(17.4)</t>
  </si>
  <si>
    <t xml:space="preserve">202/5 (20)</t>
  </si>
  <si>
    <t xml:space="preserve">Abhishek Sharma (61)</t>
  </si>
  <si>
    <t xml:space="preserve">Harshit Rana (2/54)</t>
  </si>
  <si>
    <t xml:space="preserve">Abhishek Sharma, Shubman Gill, Suryakumar Yadav (c), Tilak Varma, Sanju Samson (wk), Hardik Pandya, Axar Patel, Harshit Rana, Kuldeep Yadav, Arshdeep Singh, Varun Chakaravarthy</t>
  </si>
  <si>
    <t xml:space="preserve">Sharma(61/31/8/3), Gill(43/30/4/3), Yadav(12/13/1/1), Varma(49*/34/5/3), Samson(39/23/3/2), Pandya(2/3/0/0), Axar(21*/15/2/1)</t>
  </si>
  <si>
    <t xml:space="preserve">Pandya(1-0-7-0), Singh(4-0-46-1), Rana(4-0-54-2), Axar(3-0-32-0), Kuldeep(4-0-31-1), Varun(4-0-31-1)</t>
  </si>
  <si>
    <t xml:space="preserve">15-1(1.3), 74-2(6.5), 92-3(8.4), 158-4(15.3), 162-5(16.1)</t>
  </si>
  <si>
    <t xml:space="preserve">Pathum Nissanka (107)</t>
  </si>
  <si>
    <t xml:space="preserve">Nuwan Thushara (2/43)</t>
  </si>
  <si>
    <t xml:space="preserve">Pathum Nissanka, Kusal Mendis (wk), Kusal Perera, Charith Asalanka (c), Kamindu Mendis, Janith Liyanage, Dasun Shanaka, Wanindu Hasaranga, Dushmantha Chameera, Maheesh Theekshana, Nuwan Thushara</t>
  </si>
  <si>
    <t xml:space="preserve">Nissanka(107/58/7/8), K.Mendis(0/1/0/0), Perera(58/32/8/3), Asalanka(5/9/1/0), K.Mendis(3/7/0/0), Shanaka(22*/11/2/2), Liyanage(2*/2/0/0)</t>
  </si>
  <si>
    <t xml:space="preserve">Thushara(4-0-43-2), Theekshana(4-0-36-2), Chameera(4-0-40-1), Hasaranga(4-0-37-1), Shanaka(2-0-23-2), Asalanka(2-0-18-0)</t>
  </si>
  <si>
    <t xml:space="preserve">7-1(0.4), 134-2(12.2), 157-3(15.1), 163-4(16.4), 191-5(19.1)</t>
  </si>
  <si>
    <t xml:space="preserve">146/10 (19.1)</t>
  </si>
  <si>
    <t xml:space="preserve">Sahibzada Farhan (57)</t>
  </si>
  <si>
    <t xml:space="preserve">Kuldeep Yadav (4/30)</t>
  </si>
  <si>
    <t xml:space="preserve">Farhan(57/38/5/4), Zaman(46/35/4/3), Ayub(14/11/1/1), Haris(0/2/0/0), Agha(8/7/1/0), Talat(1/2/0/0), M.Nawaz(6/9/1/0), Afridi(0/3/0/0), Ashraf(0/2/0/0), Rauf(6/4/1/0), Abrar(1*/2/0/0)</t>
  </si>
  <si>
    <t xml:space="preserve">Afridi(4-0-20-1), Ashraf(4-0-29-3), M.Nawaz(1-0-6-0), Rauf(3.4-0-50-0), Abrar(4-0-29-1), Ayub(3-0-16-1)</t>
  </si>
  <si>
    <t xml:space="preserve">84-1(9.4), 113-2(12.5), 114-3(13.3), 126-4(14.4), 131-5(15.3), 133-6(16.1), 134-7(16.4), 134-8(16.6), 141-9(17.5), 146-10(19.1)</t>
  </si>
  <si>
    <t xml:space="preserve">150/5 (19.4)</t>
  </si>
  <si>
    <t xml:space="preserve">Tilak Varma (69*)</t>
  </si>
  <si>
    <t xml:space="preserve">Abhishek Sharma, Shubman Gill, Suryakumar Yadav (c), Tilak Varma, Sanju Samson (wk), Shivam Dube, Rinku Singh, Axar Patel, Kuldeep Yadav, Jasprit Bumrah, Varun Chakaravarthy</t>
  </si>
  <si>
    <t xml:space="preserve">Sharma(5/6/1/0), Gill(12/10/2/0), Yadav(1/5/0/0), Varma(69*/53/5/4), Samson(24/21/2/1), Dube(33/22/3/2), Singh(4*/1/1/0)</t>
  </si>
  <si>
    <t xml:space="preserve">Dube(3-0-23-0), Bumrah(3.1-0-25-2), Varun(4-0-30-2), Axar(4-0-26-2), Kuldeep(4-0-30-4), Varma(1-0-9-0)</t>
  </si>
  <si>
    <t xml:space="preserve">7-1(1.1), 10-2(2.3), 20-3(3.6), 77-4(12.2), 137-5(18.6)</t>
  </si>
  <si>
    <t xml:space="preserve">Team</t>
  </si>
  <si>
    <t xml:space="preserve">Matches</t>
  </si>
  <si>
    <t xml:space="preserve">Won</t>
  </si>
  <si>
    <t xml:space="preserve">Lost</t>
  </si>
  <si>
    <t xml:space="preserve">Win %</t>
  </si>
  <si>
    <t xml:space="preserve">Points (2 per win)</t>
  </si>
  <si>
    <t xml:space="preserve">Won Batting First</t>
  </si>
  <si>
    <t xml:space="preserve">Won Chasing</t>
  </si>
  <si>
    <t xml:space="preserve">Toss Won</t>
  </si>
  <si>
    <t xml:space="preserve">Total Runs Scored</t>
  </si>
  <si>
    <t xml:space="preserve">Highest Score</t>
  </si>
  <si>
    <t xml:space="preserve">Lowest Score</t>
  </si>
  <si>
    <t xml:space="preserve">Avg Score</t>
  </si>
  <si>
    <t xml:space="preserve">Finish</t>
  </si>
  <si>
    <t xml:space="preserve">Ties decided by Super Over are counted as a win for the Super Over winner. Win/loss record covers all stages (group + Super Four + final).</t>
  </si>
  <si>
    <t xml:space="preserve">Host</t>
  </si>
  <si>
    <t xml:space="preserve">Teams</t>
  </si>
  <si>
    <t xml:space="preserve">Champion</t>
  </si>
  <si>
    <t xml:space="preserve">Runner-up</t>
  </si>
  <si>
    <t xml:space="preserve">Final Venue</t>
  </si>
  <si>
    <t xml:space="preserve">Final Date</t>
  </si>
  <si>
    <t xml:space="preserve">Player of the Final</t>
  </si>
  <si>
    <t xml:space="preserve">Total Runs</t>
  </si>
  <si>
    <t xml:space="preserve">Avg Runs / Match</t>
  </si>
  <si>
    <t xml:space="preserve">Highest Team Score</t>
  </si>
  <si>
    <t xml:space="preserve">Lowest Team Score</t>
  </si>
  <si>
    <t xml:space="preserve">Avg 1st Innings Score</t>
  </si>
  <si>
    <t xml:space="preserve">Avg 2nd Innings Score</t>
  </si>
  <si>
    <t xml:space="preserve">Super Over Ties</t>
  </si>
  <si>
    <t xml:space="preserve">UAE (Dubai, Sharjah)</t>
  </si>
  <si>
    <t xml:space="preserve">UAE (Dubai, Abu Dhabi)</t>
  </si>
  <si>
    <t xml:space="preserve">Highest Total</t>
  </si>
  <si>
    <t xml:space="preserve">Lowest Total</t>
  </si>
  <si>
    <t xml:space="preserve">Avg Match Runs</t>
  </si>
  <si>
    <t xml:space="preserve">Chasing Win %</t>
  </si>
  <si>
    <t xml:space="preserve">Avg Powerplay Runs (both teams)</t>
  </si>
  <si>
    <t xml:space="preserve">Chasing Win % = chasing wins / all matches at the venue. A Super Over tie counts as a match but as neither a bat-first nor a chasing win.</t>
  </si>
  <si>
    <t xml:space="preserve">Player</t>
  </si>
  <si>
    <t xml:space="preserve">Awards (2022 + 2025)</t>
  </si>
  <si>
    <t xml:space="preserve">Awards 2022</t>
  </si>
  <si>
    <t xml:space="preserve">Awards 2025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</si>
</sst>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dd\-mmm\-yyyy"/>
    <numFmt numFmtId="167" formatCode="0\M"/>
    <numFmt numFmtId="168" formatCode="0.00\M"/>
    <numFmt numFmtId="169" formatCode="0%"/>
    <numFmt numFmtId="170" formatCode="0&quot; km/h&quot;"/>
    <numFmt numFmtId="171" formatCode="0.0"/>
    <numFmt numFmtId="172" formatCode="0.0%"/>
    <numFmt numFmtId="173" formatCode="0.00"/>
    <numFmt numFmtId="174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B3F00"/>
        <bgColor rgb="FF993366"/>
      </patternFill>
    </fill>
    <fill>
      <patternFill patternType="solid">
        <fgColor rgb="FF1F3864"/>
        <bgColor rgb="FF333333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7B3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7B3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C3" s="3" t="s">
        <v>2</v>
      </c>
    </row>
    <row r="4" customFormat="false" ht="23.85" hidden="false" customHeight="false" outlineLevel="0" collapsed="false">
      <c r="A4" s="2" t="s">
        <v>3</v>
      </c>
      <c r="C4" s="3" t="s">
        <v>4</v>
      </c>
    </row>
    <row r="5" customFormat="false" ht="23.85" hidden="false" customHeight="false" outlineLevel="0" collapsed="false">
      <c r="A5" s="2" t="s">
        <v>5</v>
      </c>
      <c r="C5" s="3" t="s">
        <v>6</v>
      </c>
    </row>
    <row r="7" customFormat="false" ht="15" hidden="false" customHeight="false" outlineLevel="0" collapsed="false">
      <c r="A7" s="4" t="s">
        <v>7</v>
      </c>
    </row>
    <row r="8" customFormat="false" ht="30" hidden="false" customHeight="true" outlineLevel="0" collapsed="false">
      <c r="C8" s="3" t="s">
        <v>8</v>
      </c>
    </row>
    <row r="9" customFormat="false" ht="30" hidden="false" customHeight="true" outlineLevel="0" collapsed="false">
      <c r="C9" s="3" t="s">
        <v>9</v>
      </c>
    </row>
    <row r="10" customFormat="false" ht="30" hidden="false" customHeight="true" outlineLevel="0" collapsed="false">
      <c r="C10" s="3" t="s">
        <v>10</v>
      </c>
    </row>
    <row r="11" customFormat="false" ht="30" hidden="false" customHeight="true" outlineLevel="0" collapsed="false">
      <c r="C11" s="3" t="s">
        <v>11</v>
      </c>
    </row>
    <row r="12" customFormat="false" ht="30" hidden="false" customHeight="true" outlineLevel="0" collapsed="false">
      <c r="C12" s="3" t="s">
        <v>12</v>
      </c>
    </row>
    <row r="14" customFormat="false" ht="15" hidden="false" customHeight="false" outlineLevel="0" collapsed="false">
      <c r="A14" s="4" t="s">
        <v>13</v>
      </c>
    </row>
    <row r="15" customFormat="false" ht="30" hidden="false" customHeight="true" outlineLevel="0" collapsed="false">
      <c r="C15" s="3" t="s">
        <v>14</v>
      </c>
    </row>
    <row r="16" customFormat="false" ht="30" hidden="false" customHeight="true" outlineLevel="0" collapsed="false">
      <c r="C16" s="3" t="s">
        <v>15</v>
      </c>
    </row>
    <row r="17" customFormat="false" ht="30" hidden="false" customHeight="true" outlineLevel="0" collapsed="false">
      <c r="C17" s="3" t="s">
        <v>16</v>
      </c>
    </row>
    <row r="18" customFormat="false" ht="30" hidden="false" customHeight="true" outlineLevel="0" collapsed="false">
      <c r="C18" s="3" t="s">
        <v>17</v>
      </c>
    </row>
    <row r="19" customFormat="false" ht="30" hidden="false" customHeight="true" outlineLevel="0" collapsed="false">
      <c r="C19" s="3" t="s">
        <v>18</v>
      </c>
    </row>
    <row r="20" customFormat="false" ht="30" hidden="false" customHeight="true" outlineLevel="0" collapsed="false">
      <c r="C20" s="3" t="s">
        <v>19</v>
      </c>
    </row>
    <row r="22" customFormat="false" ht="15" hidden="false" customHeight="false" outlineLevel="0" collapsed="false">
      <c r="A22" s="4" t="s">
        <v>20</v>
      </c>
    </row>
    <row r="23" customFormat="false" ht="15" hidden="false" customHeight="false" outlineLevel="0" collapsed="false">
      <c r="A23" s="2" t="s">
        <v>21</v>
      </c>
      <c r="C23" s="5" t="s">
        <v>22</v>
      </c>
    </row>
    <row r="24" customFormat="false" ht="15" hidden="false" customHeight="false" outlineLevel="0" collapsed="false">
      <c r="A24" s="2" t="s">
        <v>23</v>
      </c>
      <c r="C24" s="5" t="s">
        <v>24</v>
      </c>
    </row>
    <row r="25" customFormat="false" ht="15" hidden="false" customHeight="false" outlineLevel="0" collapsed="false">
      <c r="A25" s="2" t="s">
        <v>25</v>
      </c>
      <c r="C25" s="5" t="s">
        <v>26</v>
      </c>
    </row>
    <row r="26" customFormat="false" ht="15" hidden="false" customHeight="false" outlineLevel="0" collapsed="false">
      <c r="A26" s="2" t="s">
        <v>27</v>
      </c>
      <c r="C26" s="5" t="s">
        <v>28</v>
      </c>
    </row>
    <row r="27" customFormat="false" ht="15" hidden="false" customHeight="false" outlineLevel="0" collapsed="false">
      <c r="A27" s="2" t="s">
        <v>29</v>
      </c>
      <c r="C27" s="5" t="s">
        <v>30</v>
      </c>
    </row>
    <row r="28" customFormat="false" ht="15" hidden="false" customHeight="false" outlineLevel="0" collapsed="false">
      <c r="A28" s="2" t="s">
        <v>31</v>
      </c>
      <c r="C28" s="5" t="s">
        <v>32</v>
      </c>
    </row>
    <row r="29" customFormat="false" ht="15" hidden="false" customHeight="false" outlineLevel="0" collapsed="false">
      <c r="A29" s="2" t="s">
        <v>33</v>
      </c>
      <c r="C29" s="5" t="s">
        <v>34</v>
      </c>
    </row>
    <row r="30" customFormat="false" ht="15" hidden="false" customHeight="false" outlineLevel="0" collapsed="false">
      <c r="A30" s="2" t="s">
        <v>35</v>
      </c>
      <c r="C30" s="5" t="s">
        <v>36</v>
      </c>
    </row>
    <row r="31" customFormat="false" ht="15" hidden="false" customHeight="false" outlineLevel="0" collapsed="false">
      <c r="A31" s="2" t="s">
        <v>37</v>
      </c>
      <c r="C31" s="5" t="s">
        <v>38</v>
      </c>
    </row>
    <row r="32" customFormat="false" ht="15" hidden="false" customHeight="false" outlineLevel="0" collapsed="false">
      <c r="A32" s="2" t="s">
        <v>39</v>
      </c>
      <c r="C32" s="5" t="s">
        <v>40</v>
      </c>
    </row>
    <row r="34" customFormat="false" ht="15" hidden="false" customHeight="false" outlineLevel="0" collapsed="false">
      <c r="A34" s="4" t="s">
        <v>41</v>
      </c>
    </row>
    <row r="35" customFormat="false" ht="23.85" hidden="false" customHeight="false" outlineLevel="0" collapsed="false">
      <c r="C35" s="6" t="s">
        <v>42</v>
      </c>
    </row>
    <row r="36" customFormat="false" ht="23.85" hidden="false" customHeight="false" outlineLevel="0" collapsed="false">
      <c r="C36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34"/>
    <col collapsed="false" customWidth="true" hidden="false" outlineLevel="0" max="11" min="11" style="0" width="11"/>
    <col collapsed="false" customWidth="true" hidden="false" outlineLevel="0" max="12" min="12" style="0" width="26"/>
    <col collapsed="false" customWidth="true" hidden="false" outlineLevel="0" max="13" min="13" style="0" width="8"/>
    <col collapsed="false" customWidth="true" hidden="false" outlineLevel="0" max="18" min="14" style="0" width="12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5"/>
    <col collapsed="false" customWidth="true" hidden="false" outlineLevel="0" max="22" min="22" style="0" width="12"/>
    <col collapsed="false" customWidth="true" hidden="false" outlineLevel="0" max="23" min="23" style="0" width="17"/>
    <col collapsed="false" customWidth="true" hidden="false" outlineLevel="0" max="24" min="24" style="0" width="50"/>
    <col collapsed="false" customWidth="true" hidden="false" outlineLevel="0" max="27" min="25" style="0" width="19"/>
    <col collapsed="false" customWidth="true" hidden="false" outlineLevel="0" max="32" min="28" style="0" width="12"/>
    <col collapsed="false" customWidth="true" hidden="false" outlineLevel="0" max="33" min="33" style="0" width="19"/>
    <col collapsed="false" customWidth="true" hidden="false" outlineLevel="0" max="34" min="34" style="0" width="22"/>
    <col collapsed="false" customWidth="true" hidden="false" outlineLevel="0" max="37" min="35" style="0" width="12"/>
    <col collapsed="false" customWidth="true" hidden="false" outlineLevel="0" max="41" min="38" style="0" width="22"/>
    <col collapsed="false" customWidth="true" hidden="false" outlineLevel="0" max="42" min="42" style="0" width="16"/>
    <col collapsed="false" customWidth="true" hidden="false" outlineLevel="0" max="43" min="43" style="0" width="60"/>
    <col collapsed="false" customWidth="true" hidden="false" outlineLevel="0" max="45" min="44" style="0" width="19"/>
    <col collapsed="false" customWidth="true" hidden="false" outlineLevel="0" max="47" min="46" style="0" width="12"/>
    <col collapsed="false" customWidth="true" hidden="false" outlineLevel="0" max="48" min="48" style="0" width="19"/>
    <col collapsed="false" customWidth="true" hidden="false" outlineLevel="0" max="50" min="49" style="0" width="15"/>
    <col collapsed="false" customWidth="true" hidden="false" outlineLevel="0" max="57" min="51" style="0" width="12"/>
    <col collapsed="false" customWidth="true" hidden="false" outlineLevel="0" max="58" min="58" style="0" width="24"/>
  </cols>
  <sheetData>
    <row r="1" customFormat="false" ht="42" hidden="false" customHeight="true" outlineLevel="0" collapsed="false">
      <c r="A1" s="7" t="s">
        <v>44</v>
      </c>
      <c r="B1" s="7" t="s">
        <v>45</v>
      </c>
      <c r="C1" s="7" t="s">
        <v>46</v>
      </c>
      <c r="D1" s="8" t="s">
        <v>47</v>
      </c>
      <c r="E1" s="7" t="s">
        <v>48</v>
      </c>
      <c r="F1" s="8" t="s">
        <v>49</v>
      </c>
      <c r="G1" s="8" t="s">
        <v>50</v>
      </c>
      <c r="H1" s="7" t="s">
        <v>51</v>
      </c>
      <c r="I1" s="8" t="s">
        <v>52</v>
      </c>
      <c r="J1" s="8" t="s">
        <v>53</v>
      </c>
      <c r="K1" s="7" t="s">
        <v>54</v>
      </c>
      <c r="L1" s="8" t="s">
        <v>55</v>
      </c>
      <c r="M1" s="7" t="s">
        <v>56</v>
      </c>
      <c r="N1" s="8" t="s">
        <v>57</v>
      </c>
      <c r="O1" s="8" t="s">
        <v>58</v>
      </c>
      <c r="P1" s="8" t="s">
        <v>59</v>
      </c>
      <c r="Q1" s="8" t="s">
        <v>60</v>
      </c>
      <c r="R1" s="8" t="s">
        <v>61</v>
      </c>
      <c r="S1" s="8" t="s">
        <v>62</v>
      </c>
      <c r="T1" s="8" t="s">
        <v>63</v>
      </c>
      <c r="U1" s="8" t="s">
        <v>64</v>
      </c>
      <c r="V1" s="8" t="s">
        <v>65</v>
      </c>
      <c r="W1" s="8" t="s">
        <v>66</v>
      </c>
      <c r="X1" s="8" t="s">
        <v>67</v>
      </c>
      <c r="Y1" s="8" t="s">
        <v>68</v>
      </c>
      <c r="Z1" s="8" t="s">
        <v>69</v>
      </c>
      <c r="AA1" s="8" t="s">
        <v>70</v>
      </c>
      <c r="AB1" s="8" t="s">
        <v>71</v>
      </c>
      <c r="AC1" s="8" t="s">
        <v>72</v>
      </c>
      <c r="AD1" s="8" t="s">
        <v>73</v>
      </c>
      <c r="AE1" s="8" t="s">
        <v>74</v>
      </c>
      <c r="AF1" s="8" t="s">
        <v>75</v>
      </c>
      <c r="AG1" s="8" t="s">
        <v>76</v>
      </c>
      <c r="AH1" s="8" t="s">
        <v>77</v>
      </c>
      <c r="AI1" s="8" t="s">
        <v>78</v>
      </c>
      <c r="AJ1" s="8" t="s">
        <v>79</v>
      </c>
      <c r="AK1" s="8" t="s">
        <v>80</v>
      </c>
      <c r="AL1" s="8" t="s">
        <v>81</v>
      </c>
      <c r="AM1" s="8" t="s">
        <v>82</v>
      </c>
      <c r="AN1" s="8" t="s">
        <v>83</v>
      </c>
      <c r="AO1" s="8" t="s">
        <v>84</v>
      </c>
      <c r="AP1" s="8" t="s">
        <v>85</v>
      </c>
      <c r="AQ1" s="7" t="s">
        <v>86</v>
      </c>
      <c r="AR1" s="9" t="s">
        <v>87</v>
      </c>
      <c r="AS1" s="9" t="s">
        <v>88</v>
      </c>
      <c r="AT1" s="9" t="s">
        <v>89</v>
      </c>
      <c r="AU1" s="9" t="s">
        <v>90</v>
      </c>
      <c r="AV1" s="9" t="s">
        <v>25</v>
      </c>
      <c r="AW1" s="9" t="s">
        <v>27</v>
      </c>
      <c r="AX1" s="9" t="s">
        <v>29</v>
      </c>
      <c r="AY1" s="9" t="s">
        <v>31</v>
      </c>
      <c r="AZ1" s="9" t="s">
        <v>91</v>
      </c>
      <c r="BA1" s="9" t="s">
        <v>92</v>
      </c>
      <c r="BB1" s="9" t="s">
        <v>93</v>
      </c>
      <c r="BC1" s="9" t="s">
        <v>94</v>
      </c>
      <c r="BD1" s="9" t="s">
        <v>95</v>
      </c>
      <c r="BE1" s="9" t="s">
        <v>96</v>
      </c>
      <c r="BF1" s="9" t="s">
        <v>39</v>
      </c>
    </row>
    <row r="2" customFormat="false" ht="15" hidden="false" customHeight="false" outlineLevel="0" collapsed="false">
      <c r="A2" s="10" t="s">
        <v>97</v>
      </c>
      <c r="B2" s="10" t="s">
        <v>98</v>
      </c>
      <c r="C2" s="11" t="n">
        <v>2022</v>
      </c>
      <c r="D2" s="11" t="n">
        <v>1</v>
      </c>
      <c r="E2" s="10" t="s">
        <v>99</v>
      </c>
      <c r="F2" s="12" t="n">
        <v>44800</v>
      </c>
      <c r="G2" s="10" t="s">
        <v>100</v>
      </c>
      <c r="H2" s="10" t="s">
        <v>101</v>
      </c>
      <c r="I2" s="10" t="s">
        <v>102</v>
      </c>
      <c r="J2" s="10" t="s">
        <v>103</v>
      </c>
      <c r="K2" s="10" t="s">
        <v>104</v>
      </c>
      <c r="L2" s="10" t="s">
        <v>105</v>
      </c>
      <c r="M2" s="10" t="s">
        <v>106</v>
      </c>
      <c r="N2" s="13" t="n">
        <v>65</v>
      </c>
      <c r="O2" s="13" t="n">
        <v>80</v>
      </c>
      <c r="P2" s="13" t="n">
        <v>75</v>
      </c>
      <c r="Q2" s="14" t="n">
        <v>20.12</v>
      </c>
      <c r="R2" s="14" t="n">
        <v>3.05</v>
      </c>
      <c r="S2" s="10" t="s">
        <v>107</v>
      </c>
      <c r="T2" s="15" t="n">
        <v>0.35</v>
      </c>
      <c r="U2" s="10" t="s">
        <v>108</v>
      </c>
      <c r="V2" s="16" t="n">
        <v>12</v>
      </c>
      <c r="W2" s="10" t="s">
        <v>109</v>
      </c>
      <c r="X2" s="17" t="s">
        <v>110</v>
      </c>
      <c r="Y2" s="10" t="s">
        <v>111</v>
      </c>
      <c r="Z2" s="10" t="s">
        <v>112</v>
      </c>
      <c r="AA2" s="10" t="s">
        <v>112</v>
      </c>
      <c r="AB2" s="10" t="s">
        <v>113</v>
      </c>
      <c r="AC2" s="11" t="n">
        <v>41</v>
      </c>
      <c r="AD2" s="11" t="n">
        <v>83</v>
      </c>
      <c r="AE2" s="11" t="n">
        <v>105</v>
      </c>
      <c r="AF2" s="11" t="n">
        <v>106</v>
      </c>
      <c r="AG2" s="10" t="s">
        <v>112</v>
      </c>
      <c r="AH2" s="10" t="s">
        <v>114</v>
      </c>
      <c r="AI2" s="11" t="n">
        <v>6</v>
      </c>
      <c r="AJ2" s="11" t="n">
        <v>12</v>
      </c>
      <c r="AK2" s="10" t="s">
        <v>115</v>
      </c>
      <c r="AL2" s="10" t="s">
        <v>116</v>
      </c>
      <c r="AM2" s="10" t="s">
        <v>117</v>
      </c>
      <c r="AN2" s="10" t="s">
        <v>118</v>
      </c>
      <c r="AO2" s="10" t="s">
        <v>119</v>
      </c>
      <c r="AP2" s="10" t="s">
        <v>120</v>
      </c>
      <c r="AQ2" s="17" t="s">
        <v>121</v>
      </c>
      <c r="AR2" s="10" t="str">
        <f aca="false">IF(AB2="Bat",AA2,IF(AA2=Y2,Z2,Y2))</f>
        <v>Sri Lanka</v>
      </c>
      <c r="AS2" s="10" t="str">
        <f aca="false">IF(AR2=Y2,Z2,Y2)</f>
        <v>Afghanistan</v>
      </c>
      <c r="AT2" s="11" t="n">
        <f aca="false">IF(AR2=Y2,AE2,AF2)</f>
        <v>105</v>
      </c>
      <c r="AU2" s="11" t="n">
        <f aca="false">IF(AR2=Y2,AF2,AE2)</f>
        <v>106</v>
      </c>
      <c r="AV2" s="10" t="str">
        <f aca="false">IF(AG2=Y2,Z2,Y2)</f>
        <v>Sri Lanka</v>
      </c>
      <c r="AW2" s="10" t="str">
        <f aca="false">IF(AE2=AF2,"Tie (Super Over)","Normal")</f>
        <v>Normal</v>
      </c>
      <c r="AX2" s="10" t="str">
        <f aca="false">IF(AW2&lt;&gt;"Normal","Super Over",IF(AG2=AR2,"Batting First","Chasing"))</f>
        <v>Chasing</v>
      </c>
      <c r="AY2" s="10" t="str">
        <f aca="false">IF(AA2=AG2,"Yes","No")</f>
        <v>Yes</v>
      </c>
      <c r="AZ2" s="10" t="str">
        <f aca="false">IF(ISNUMBER(SEARCH("Wicket",AK2)),"Wickets",IF(ISNUMBER(SEARCH("Run",AK2)),"Runs","Super Over"))</f>
        <v>Wickets</v>
      </c>
      <c r="BA2" s="11" t="n">
        <f aca="false">IF(AZ2="Super Over","",VALUE(LEFT(AK2,FIND(" ",AK2)-1)))</f>
        <v>8</v>
      </c>
      <c r="BB2" s="11" t="n">
        <f aca="false">AE2+AF2</f>
        <v>211</v>
      </c>
      <c r="BC2" s="11" t="n">
        <f aca="false">ABS(AE2-AF2)</f>
        <v>1</v>
      </c>
      <c r="BD2" s="11" t="n">
        <f aca="false">AC2+AD2</f>
        <v>124</v>
      </c>
      <c r="BE2" s="11" t="n">
        <f aca="false">AI2+AJ2</f>
        <v>18</v>
      </c>
      <c r="BF2" s="10" t="str">
        <f aca="false">B2&amp;"|"&amp;H2</f>
        <v>Asia Cup 2022|Group Stage</v>
      </c>
    </row>
    <row r="3" customFormat="false" ht="23.85" hidden="false" customHeight="false" outlineLevel="0" collapsed="false">
      <c r="A3" s="10" t="s">
        <v>122</v>
      </c>
      <c r="B3" s="10" t="s">
        <v>98</v>
      </c>
      <c r="C3" s="11" t="n">
        <v>2022</v>
      </c>
      <c r="D3" s="11" t="n">
        <v>2</v>
      </c>
      <c r="E3" s="10" t="s">
        <v>123</v>
      </c>
      <c r="F3" s="12" t="n">
        <v>44801</v>
      </c>
      <c r="G3" s="10" t="s">
        <v>124</v>
      </c>
      <c r="H3" s="10" t="s">
        <v>101</v>
      </c>
      <c r="I3" s="10" t="s">
        <v>125</v>
      </c>
      <c r="J3" s="10" t="s">
        <v>103</v>
      </c>
      <c r="K3" s="10" t="s">
        <v>104</v>
      </c>
      <c r="L3" s="10" t="s">
        <v>105</v>
      </c>
      <c r="M3" s="10" t="s">
        <v>106</v>
      </c>
      <c r="N3" s="13" t="n">
        <v>65</v>
      </c>
      <c r="O3" s="13" t="n">
        <v>80</v>
      </c>
      <c r="P3" s="13" t="n">
        <v>75</v>
      </c>
      <c r="Q3" s="14" t="n">
        <v>20.12</v>
      </c>
      <c r="R3" s="14" t="n">
        <v>3.05</v>
      </c>
      <c r="S3" s="10" t="s">
        <v>126</v>
      </c>
      <c r="T3" s="15" t="n">
        <v>0.5</v>
      </c>
      <c r="U3" s="10" t="s">
        <v>108</v>
      </c>
      <c r="V3" s="16" t="n">
        <v>12</v>
      </c>
      <c r="W3" s="10" t="s">
        <v>127</v>
      </c>
      <c r="X3" s="17" t="s">
        <v>128</v>
      </c>
      <c r="Y3" s="10" t="s">
        <v>129</v>
      </c>
      <c r="Z3" s="10" t="s">
        <v>130</v>
      </c>
      <c r="AA3" s="10" t="s">
        <v>130</v>
      </c>
      <c r="AB3" s="10" t="s">
        <v>113</v>
      </c>
      <c r="AC3" s="11" t="n">
        <v>43</v>
      </c>
      <c r="AD3" s="11" t="n">
        <v>38</v>
      </c>
      <c r="AE3" s="11" t="n">
        <v>147</v>
      </c>
      <c r="AF3" s="11" t="n">
        <v>148</v>
      </c>
      <c r="AG3" s="10" t="s">
        <v>130</v>
      </c>
      <c r="AH3" s="10" t="s">
        <v>131</v>
      </c>
      <c r="AI3" s="11" t="n">
        <v>5</v>
      </c>
      <c r="AJ3" s="11" t="n">
        <v>14</v>
      </c>
      <c r="AK3" s="10" t="s">
        <v>132</v>
      </c>
      <c r="AL3" s="10" t="s">
        <v>133</v>
      </c>
      <c r="AM3" s="10" t="s">
        <v>134</v>
      </c>
      <c r="AN3" s="10" t="s">
        <v>135</v>
      </c>
      <c r="AO3" s="10" t="s">
        <v>136</v>
      </c>
      <c r="AP3" s="10" t="s">
        <v>120</v>
      </c>
      <c r="AQ3" s="17" t="s">
        <v>121</v>
      </c>
      <c r="AR3" s="10" t="str">
        <f aca="false">IF(AB3="Bat",AA3,IF(AA3=Y3,Z3,Y3))</f>
        <v>Pakistan</v>
      </c>
      <c r="AS3" s="10" t="str">
        <f aca="false">IF(AR3=Y3,Z3,Y3)</f>
        <v>India</v>
      </c>
      <c r="AT3" s="11" t="n">
        <f aca="false">IF(AR3=Y3,AE3,AF3)</f>
        <v>147</v>
      </c>
      <c r="AU3" s="11" t="n">
        <f aca="false">IF(AR3=Y3,AF3,AE3)</f>
        <v>148</v>
      </c>
      <c r="AV3" s="10" t="str">
        <f aca="false">IF(AG3=Y3,Z3,Y3)</f>
        <v>Pakistan</v>
      </c>
      <c r="AW3" s="10" t="str">
        <f aca="false">IF(AE3=AF3,"Tie (Super Over)","Normal")</f>
        <v>Normal</v>
      </c>
      <c r="AX3" s="10" t="str">
        <f aca="false">IF(AW3&lt;&gt;"Normal","Super Over",IF(AG3=AR3,"Batting First","Chasing"))</f>
        <v>Chasing</v>
      </c>
      <c r="AY3" s="10" t="str">
        <f aca="false">IF(AA3=AG3,"Yes","No")</f>
        <v>Yes</v>
      </c>
      <c r="AZ3" s="10" t="str">
        <f aca="false">IF(ISNUMBER(SEARCH("Wicket",AK3)),"Wickets",IF(ISNUMBER(SEARCH("Run",AK3)),"Runs","Super Over"))</f>
        <v>Wickets</v>
      </c>
      <c r="BA3" s="11" t="n">
        <f aca="false">IF(AZ3="Super Over","",VALUE(LEFT(AK3,FIND(" ",AK3)-1)))</f>
        <v>5</v>
      </c>
      <c r="BB3" s="11" t="n">
        <f aca="false">AE3+AF3</f>
        <v>295</v>
      </c>
      <c r="BC3" s="11" t="n">
        <f aca="false">ABS(AE3-AF3)</f>
        <v>1</v>
      </c>
      <c r="BD3" s="11" t="n">
        <f aca="false">AC3+AD3</f>
        <v>81</v>
      </c>
      <c r="BE3" s="11" t="n">
        <f aca="false">AI3+AJ3</f>
        <v>19</v>
      </c>
      <c r="BF3" s="10" t="str">
        <f aca="false">B3&amp;"|"&amp;H3</f>
        <v>Asia Cup 2022|Group Stage</v>
      </c>
    </row>
    <row r="4" customFormat="false" ht="15" hidden="false" customHeight="false" outlineLevel="0" collapsed="false">
      <c r="A4" s="10" t="s">
        <v>137</v>
      </c>
      <c r="B4" s="10" t="s">
        <v>98</v>
      </c>
      <c r="C4" s="11" t="n">
        <v>2022</v>
      </c>
      <c r="D4" s="11" t="n">
        <v>3</v>
      </c>
      <c r="E4" s="10" t="s">
        <v>138</v>
      </c>
      <c r="F4" s="12" t="n">
        <v>44803</v>
      </c>
      <c r="G4" s="10" t="s">
        <v>100</v>
      </c>
      <c r="H4" s="10" t="s">
        <v>101</v>
      </c>
      <c r="I4" s="10" t="s">
        <v>139</v>
      </c>
      <c r="J4" s="10" t="s">
        <v>140</v>
      </c>
      <c r="K4" s="10" t="s">
        <v>141</v>
      </c>
      <c r="L4" s="10" t="s">
        <v>105</v>
      </c>
      <c r="M4" s="10" t="s">
        <v>106</v>
      </c>
      <c r="N4" s="13" t="n">
        <v>58</v>
      </c>
      <c r="O4" s="13" t="n">
        <v>57</v>
      </c>
      <c r="P4" s="13" t="n">
        <v>65</v>
      </c>
      <c r="Q4" s="14" t="n">
        <v>20.12</v>
      </c>
      <c r="R4" s="14" t="n">
        <v>3.05</v>
      </c>
      <c r="S4" s="10" t="s">
        <v>142</v>
      </c>
      <c r="T4" s="15" t="n">
        <v>0.45</v>
      </c>
      <c r="U4" s="10" t="s">
        <v>108</v>
      </c>
      <c r="V4" s="16" t="n">
        <v>11</v>
      </c>
      <c r="W4" s="10" t="s">
        <v>109</v>
      </c>
      <c r="X4" s="17" t="s">
        <v>143</v>
      </c>
      <c r="Y4" s="10" t="s">
        <v>144</v>
      </c>
      <c r="Z4" s="10" t="s">
        <v>112</v>
      </c>
      <c r="AA4" s="10" t="s">
        <v>144</v>
      </c>
      <c r="AB4" s="10" t="s">
        <v>145</v>
      </c>
      <c r="AC4" s="11" t="n">
        <v>28</v>
      </c>
      <c r="AD4" s="11" t="n">
        <v>29</v>
      </c>
      <c r="AE4" s="11" t="n">
        <v>127</v>
      </c>
      <c r="AF4" s="11" t="n">
        <v>131</v>
      </c>
      <c r="AG4" s="10" t="s">
        <v>112</v>
      </c>
      <c r="AH4" s="10" t="s">
        <v>146</v>
      </c>
      <c r="AI4" s="11" t="n">
        <v>5</v>
      </c>
      <c r="AJ4" s="11" t="n">
        <v>4</v>
      </c>
      <c r="AK4" s="10" t="s">
        <v>147</v>
      </c>
      <c r="AL4" s="10" t="s">
        <v>119</v>
      </c>
      <c r="AM4" s="10" t="s">
        <v>118</v>
      </c>
      <c r="AN4" s="10" t="s">
        <v>117</v>
      </c>
      <c r="AO4" s="10" t="s">
        <v>116</v>
      </c>
      <c r="AP4" s="10" t="s">
        <v>120</v>
      </c>
      <c r="AQ4" s="17" t="s">
        <v>121</v>
      </c>
      <c r="AR4" s="10" t="str">
        <f aca="false">IF(AB4="Bat",AA4,IF(AA4=Y4,Z4,Y4))</f>
        <v>Bangladesh</v>
      </c>
      <c r="AS4" s="10" t="str">
        <f aca="false">IF(AR4=Y4,Z4,Y4)</f>
        <v>Afghanistan</v>
      </c>
      <c r="AT4" s="11" t="n">
        <f aca="false">IF(AR4=Y4,AE4,AF4)</f>
        <v>127</v>
      </c>
      <c r="AU4" s="11" t="n">
        <f aca="false">IF(AR4=Y4,AF4,AE4)</f>
        <v>131</v>
      </c>
      <c r="AV4" s="10" t="str">
        <f aca="false">IF(AG4=Y4,Z4,Y4)</f>
        <v>Bangladesh</v>
      </c>
      <c r="AW4" s="10" t="str">
        <f aca="false">IF(AE4=AF4,"Tie (Super Over)","Normal")</f>
        <v>Normal</v>
      </c>
      <c r="AX4" s="10" t="str">
        <f aca="false">IF(AW4&lt;&gt;"Normal","Super Over",IF(AG4=AR4,"Batting First","Chasing"))</f>
        <v>Chasing</v>
      </c>
      <c r="AY4" s="10" t="str">
        <f aca="false">IF(AA4=AG4,"Yes","No")</f>
        <v>No</v>
      </c>
      <c r="AZ4" s="10" t="str">
        <f aca="false">IF(ISNUMBER(SEARCH("Wicket",AK4)),"Wickets",IF(ISNUMBER(SEARCH("Run",AK4)),"Runs","Super Over"))</f>
        <v>Wickets</v>
      </c>
      <c r="BA4" s="11" t="n">
        <f aca="false">IF(AZ4="Super Over","",VALUE(LEFT(AK4,FIND(" ",AK4)-1)))</f>
        <v>7</v>
      </c>
      <c r="BB4" s="11" t="n">
        <f aca="false">AE4+AF4</f>
        <v>258</v>
      </c>
      <c r="BC4" s="11" t="n">
        <f aca="false">ABS(AE4-AF4)</f>
        <v>4</v>
      </c>
      <c r="BD4" s="11" t="n">
        <f aca="false">AC4+AD4</f>
        <v>57</v>
      </c>
      <c r="BE4" s="11" t="n">
        <f aca="false">AI4+AJ4</f>
        <v>9</v>
      </c>
      <c r="BF4" s="10" t="str">
        <f aca="false">B4&amp;"|"&amp;H4</f>
        <v>Asia Cup 2022|Group Stage</v>
      </c>
    </row>
    <row r="5" customFormat="false" ht="23.85" hidden="false" customHeight="false" outlineLevel="0" collapsed="false">
      <c r="A5" s="10" t="s">
        <v>148</v>
      </c>
      <c r="B5" s="10" t="s">
        <v>98</v>
      </c>
      <c r="C5" s="11" t="n">
        <v>2022</v>
      </c>
      <c r="D5" s="11" t="n">
        <v>4</v>
      </c>
      <c r="E5" s="10" t="s">
        <v>149</v>
      </c>
      <c r="F5" s="12" t="n">
        <v>44804</v>
      </c>
      <c r="G5" s="10" t="s">
        <v>124</v>
      </c>
      <c r="H5" s="10" t="s">
        <v>101</v>
      </c>
      <c r="I5" s="10" t="s">
        <v>150</v>
      </c>
      <c r="J5" s="10" t="s">
        <v>103</v>
      </c>
      <c r="K5" s="10" t="s">
        <v>104</v>
      </c>
      <c r="L5" s="10" t="s">
        <v>105</v>
      </c>
      <c r="M5" s="10" t="s">
        <v>106</v>
      </c>
      <c r="N5" s="13" t="n">
        <v>65</v>
      </c>
      <c r="O5" s="13" t="n">
        <v>80</v>
      </c>
      <c r="P5" s="13" t="n">
        <v>75</v>
      </c>
      <c r="Q5" s="14" t="n">
        <v>20.12</v>
      </c>
      <c r="R5" s="14" t="n">
        <v>3.05</v>
      </c>
      <c r="S5" s="10" t="s">
        <v>151</v>
      </c>
      <c r="T5" s="15" t="n">
        <v>0.61</v>
      </c>
      <c r="U5" s="10" t="s">
        <v>152</v>
      </c>
      <c r="V5" s="16" t="n">
        <v>12</v>
      </c>
      <c r="W5" s="10" t="s">
        <v>153</v>
      </c>
      <c r="X5" s="17" t="s">
        <v>154</v>
      </c>
      <c r="Y5" s="10" t="s">
        <v>130</v>
      </c>
      <c r="Z5" s="10" t="s">
        <v>155</v>
      </c>
      <c r="AA5" s="10" t="s">
        <v>155</v>
      </c>
      <c r="AB5" s="10" t="s">
        <v>113</v>
      </c>
      <c r="AC5" s="11" t="n">
        <v>44</v>
      </c>
      <c r="AD5" s="11" t="n">
        <v>51</v>
      </c>
      <c r="AE5" s="11" t="n">
        <v>192</v>
      </c>
      <c r="AF5" s="11" t="n">
        <v>152</v>
      </c>
      <c r="AG5" s="10" t="s">
        <v>130</v>
      </c>
      <c r="AH5" s="10" t="s">
        <v>156</v>
      </c>
      <c r="AI5" s="11" t="n">
        <v>8</v>
      </c>
      <c r="AJ5" s="11" t="n">
        <v>6</v>
      </c>
      <c r="AK5" s="10" t="s">
        <v>157</v>
      </c>
      <c r="AL5" s="10" t="s">
        <v>116</v>
      </c>
      <c r="AM5" s="10" t="s">
        <v>136</v>
      </c>
      <c r="AN5" s="10" t="s">
        <v>119</v>
      </c>
      <c r="AO5" s="10" t="s">
        <v>158</v>
      </c>
      <c r="AP5" s="10" t="s">
        <v>120</v>
      </c>
      <c r="AQ5" s="17" t="s">
        <v>121</v>
      </c>
      <c r="AR5" s="10" t="str">
        <f aca="false">IF(AB5="Bat",AA5,IF(AA5=Y5,Z5,Y5))</f>
        <v>India</v>
      </c>
      <c r="AS5" s="10" t="str">
        <f aca="false">IF(AR5=Y5,Z5,Y5)</f>
        <v>Hong Kong</v>
      </c>
      <c r="AT5" s="11" t="n">
        <f aca="false">IF(AR5=Y5,AE5,AF5)</f>
        <v>192</v>
      </c>
      <c r="AU5" s="11" t="n">
        <f aca="false">IF(AR5=Y5,AF5,AE5)</f>
        <v>152</v>
      </c>
      <c r="AV5" s="10" t="str">
        <f aca="false">IF(AG5=Y5,Z5,Y5)</f>
        <v>Hong Kong</v>
      </c>
      <c r="AW5" s="10" t="str">
        <f aca="false">IF(AE5=AF5,"Tie (Super Over)","Normal")</f>
        <v>Normal</v>
      </c>
      <c r="AX5" s="10" t="str">
        <f aca="false">IF(AW5&lt;&gt;"Normal","Super Over",IF(AG5=AR5,"Batting First","Chasing"))</f>
        <v>Batting First</v>
      </c>
      <c r="AY5" s="10" t="str">
        <f aca="false">IF(AA5=AG5,"Yes","No")</f>
        <v>No</v>
      </c>
      <c r="AZ5" s="10" t="str">
        <f aca="false">IF(ISNUMBER(SEARCH("Wicket",AK5)),"Wickets",IF(ISNUMBER(SEARCH("Run",AK5)),"Runs","Super Over"))</f>
        <v>Runs</v>
      </c>
      <c r="BA5" s="11" t="n">
        <f aca="false">IF(AZ5="Super Over","",VALUE(LEFT(AK5,FIND(" ",AK5)-1)))</f>
        <v>40</v>
      </c>
      <c r="BB5" s="11" t="n">
        <f aca="false">AE5+AF5</f>
        <v>344</v>
      </c>
      <c r="BC5" s="11" t="n">
        <f aca="false">ABS(AE5-AF5)</f>
        <v>40</v>
      </c>
      <c r="BD5" s="11" t="n">
        <f aca="false">AC5+AD5</f>
        <v>95</v>
      </c>
      <c r="BE5" s="11" t="n">
        <f aca="false">AI5+AJ5</f>
        <v>14</v>
      </c>
      <c r="BF5" s="10" t="str">
        <f aca="false">B5&amp;"|"&amp;H5</f>
        <v>Asia Cup 2022|Group Stage</v>
      </c>
    </row>
    <row r="6" customFormat="false" ht="23.85" hidden="false" customHeight="false" outlineLevel="0" collapsed="false">
      <c r="A6" s="10" t="s">
        <v>159</v>
      </c>
      <c r="B6" s="10" t="s">
        <v>98</v>
      </c>
      <c r="C6" s="11" t="n">
        <v>2022</v>
      </c>
      <c r="D6" s="11" t="n">
        <v>5</v>
      </c>
      <c r="E6" s="10" t="s">
        <v>160</v>
      </c>
      <c r="F6" s="12" t="n">
        <v>44805</v>
      </c>
      <c r="G6" s="10" t="s">
        <v>100</v>
      </c>
      <c r="H6" s="10" t="s">
        <v>101</v>
      </c>
      <c r="I6" s="10" t="s">
        <v>161</v>
      </c>
      <c r="J6" s="10" t="s">
        <v>103</v>
      </c>
      <c r="K6" s="10" t="s">
        <v>104</v>
      </c>
      <c r="L6" s="10" t="s">
        <v>105</v>
      </c>
      <c r="M6" s="10" t="s">
        <v>106</v>
      </c>
      <c r="N6" s="13" t="n">
        <v>65</v>
      </c>
      <c r="O6" s="13" t="n">
        <v>80</v>
      </c>
      <c r="P6" s="13" t="n">
        <v>75</v>
      </c>
      <c r="Q6" s="14" t="n">
        <v>20.12</v>
      </c>
      <c r="R6" s="14" t="n">
        <v>3.05</v>
      </c>
      <c r="S6" s="10" t="s">
        <v>126</v>
      </c>
      <c r="T6" s="15" t="n">
        <v>0.65</v>
      </c>
      <c r="U6" s="10" t="s">
        <v>108</v>
      </c>
      <c r="V6" s="16" t="n">
        <v>13</v>
      </c>
      <c r="W6" s="10" t="s">
        <v>153</v>
      </c>
      <c r="X6" s="17" t="s">
        <v>162</v>
      </c>
      <c r="Y6" s="10" t="s">
        <v>144</v>
      </c>
      <c r="Z6" s="10" t="s">
        <v>111</v>
      </c>
      <c r="AA6" s="10" t="s">
        <v>111</v>
      </c>
      <c r="AB6" s="10" t="s">
        <v>113</v>
      </c>
      <c r="AC6" s="11" t="n">
        <v>55</v>
      </c>
      <c r="AD6" s="11" t="n">
        <v>48</v>
      </c>
      <c r="AE6" s="11" t="n">
        <v>183</v>
      </c>
      <c r="AF6" s="11" t="n">
        <v>184</v>
      </c>
      <c r="AG6" s="10" t="s">
        <v>111</v>
      </c>
      <c r="AH6" s="10" t="s">
        <v>163</v>
      </c>
      <c r="AI6" s="11" t="n">
        <v>10</v>
      </c>
      <c r="AJ6" s="11" t="n">
        <v>17</v>
      </c>
      <c r="AK6" s="10" t="s">
        <v>164</v>
      </c>
      <c r="AL6" s="10" t="s">
        <v>158</v>
      </c>
      <c r="AM6" s="10" t="s">
        <v>117</v>
      </c>
      <c r="AN6" s="10" t="s">
        <v>165</v>
      </c>
      <c r="AO6" s="10" t="s">
        <v>118</v>
      </c>
      <c r="AP6" s="10" t="s">
        <v>120</v>
      </c>
      <c r="AQ6" s="17" t="s">
        <v>121</v>
      </c>
      <c r="AR6" s="10" t="str">
        <f aca="false">IF(AB6="Bat",AA6,IF(AA6=Y6,Z6,Y6))</f>
        <v>Bangladesh</v>
      </c>
      <c r="AS6" s="10" t="str">
        <f aca="false">IF(AR6=Y6,Z6,Y6)</f>
        <v>Sri Lanka</v>
      </c>
      <c r="AT6" s="11" t="n">
        <f aca="false">IF(AR6=Y6,AE6,AF6)</f>
        <v>183</v>
      </c>
      <c r="AU6" s="11" t="n">
        <f aca="false">IF(AR6=Y6,AF6,AE6)</f>
        <v>184</v>
      </c>
      <c r="AV6" s="10" t="str">
        <f aca="false">IF(AG6=Y6,Z6,Y6)</f>
        <v>Bangladesh</v>
      </c>
      <c r="AW6" s="10" t="str">
        <f aca="false">IF(AE6=AF6,"Tie (Super Over)","Normal")</f>
        <v>Normal</v>
      </c>
      <c r="AX6" s="10" t="str">
        <f aca="false">IF(AW6&lt;&gt;"Normal","Super Over",IF(AG6=AR6,"Batting First","Chasing"))</f>
        <v>Chasing</v>
      </c>
      <c r="AY6" s="10" t="str">
        <f aca="false">IF(AA6=AG6,"Yes","No")</f>
        <v>Yes</v>
      </c>
      <c r="AZ6" s="10" t="str">
        <f aca="false">IF(ISNUMBER(SEARCH("Wicket",AK6)),"Wickets",IF(ISNUMBER(SEARCH("Run",AK6)),"Runs","Super Over"))</f>
        <v>Wickets</v>
      </c>
      <c r="BA6" s="11" t="n">
        <f aca="false">IF(AZ6="Super Over","",VALUE(LEFT(AK6,FIND(" ",AK6)-1)))</f>
        <v>2</v>
      </c>
      <c r="BB6" s="11" t="n">
        <f aca="false">AE6+AF6</f>
        <v>367</v>
      </c>
      <c r="BC6" s="11" t="n">
        <f aca="false">ABS(AE6-AF6)</f>
        <v>1</v>
      </c>
      <c r="BD6" s="11" t="n">
        <f aca="false">AC6+AD6</f>
        <v>103</v>
      </c>
      <c r="BE6" s="11" t="n">
        <f aca="false">AI6+AJ6</f>
        <v>27</v>
      </c>
      <c r="BF6" s="10" t="str">
        <f aca="false">B6&amp;"|"&amp;H6</f>
        <v>Asia Cup 2022|Group Stage</v>
      </c>
    </row>
    <row r="7" customFormat="false" ht="23.85" hidden="false" customHeight="false" outlineLevel="0" collapsed="false">
      <c r="A7" s="10" t="s">
        <v>166</v>
      </c>
      <c r="B7" s="10" t="s">
        <v>98</v>
      </c>
      <c r="C7" s="11" t="n">
        <v>2022</v>
      </c>
      <c r="D7" s="11" t="n">
        <v>6</v>
      </c>
      <c r="E7" s="10" t="s">
        <v>167</v>
      </c>
      <c r="F7" s="12" t="n">
        <v>44806</v>
      </c>
      <c r="G7" s="10" t="s">
        <v>124</v>
      </c>
      <c r="H7" s="10" t="s">
        <v>101</v>
      </c>
      <c r="I7" s="10" t="s">
        <v>168</v>
      </c>
      <c r="J7" s="10" t="s">
        <v>140</v>
      </c>
      <c r="K7" s="10" t="s">
        <v>141</v>
      </c>
      <c r="L7" s="10" t="s">
        <v>105</v>
      </c>
      <c r="M7" s="10" t="s">
        <v>106</v>
      </c>
      <c r="N7" s="13" t="n">
        <v>58</v>
      </c>
      <c r="O7" s="13" t="n">
        <v>57</v>
      </c>
      <c r="P7" s="13" t="n">
        <v>65</v>
      </c>
      <c r="Q7" s="14" t="n">
        <v>20.12</v>
      </c>
      <c r="R7" s="14" t="n">
        <v>3.05</v>
      </c>
      <c r="S7" s="10" t="s">
        <v>142</v>
      </c>
      <c r="T7" s="15" t="n">
        <v>0.46</v>
      </c>
      <c r="U7" s="10" t="s">
        <v>152</v>
      </c>
      <c r="V7" s="16" t="n">
        <v>10</v>
      </c>
      <c r="W7" s="10" t="s">
        <v>153</v>
      </c>
      <c r="X7" s="17" t="s">
        <v>169</v>
      </c>
      <c r="Y7" s="10" t="s">
        <v>129</v>
      </c>
      <c r="Z7" s="10" t="s">
        <v>155</v>
      </c>
      <c r="AA7" s="10" t="s">
        <v>155</v>
      </c>
      <c r="AB7" s="10" t="s">
        <v>113</v>
      </c>
      <c r="AC7" s="11" t="n">
        <v>40</v>
      </c>
      <c r="AD7" s="11" t="n">
        <v>19</v>
      </c>
      <c r="AE7" s="11" t="n">
        <v>193</v>
      </c>
      <c r="AF7" s="11" t="n">
        <v>38</v>
      </c>
      <c r="AG7" s="10" t="s">
        <v>129</v>
      </c>
      <c r="AH7" s="10" t="s">
        <v>170</v>
      </c>
      <c r="AI7" s="11" t="n">
        <v>18</v>
      </c>
      <c r="AJ7" s="11" t="n">
        <v>10</v>
      </c>
      <c r="AK7" s="10" t="s">
        <v>171</v>
      </c>
      <c r="AL7" s="10" t="s">
        <v>135</v>
      </c>
      <c r="AM7" s="10" t="s">
        <v>134</v>
      </c>
      <c r="AN7" s="10" t="s">
        <v>133</v>
      </c>
      <c r="AO7" s="10" t="s">
        <v>165</v>
      </c>
      <c r="AP7" s="10" t="s">
        <v>120</v>
      </c>
      <c r="AQ7" s="17" t="s">
        <v>121</v>
      </c>
      <c r="AR7" s="10" t="str">
        <f aca="false">IF(AB7="Bat",AA7,IF(AA7=Y7,Z7,Y7))</f>
        <v>Pakistan</v>
      </c>
      <c r="AS7" s="10" t="str">
        <f aca="false">IF(AR7=Y7,Z7,Y7)</f>
        <v>Hong Kong</v>
      </c>
      <c r="AT7" s="11" t="n">
        <f aca="false">IF(AR7=Y7,AE7,AF7)</f>
        <v>193</v>
      </c>
      <c r="AU7" s="11" t="n">
        <f aca="false">IF(AR7=Y7,AF7,AE7)</f>
        <v>38</v>
      </c>
      <c r="AV7" s="10" t="str">
        <f aca="false">IF(AG7=Y7,Z7,Y7)</f>
        <v>Hong Kong</v>
      </c>
      <c r="AW7" s="10" t="str">
        <f aca="false">IF(AE7=AF7,"Tie (Super Over)","Normal")</f>
        <v>Normal</v>
      </c>
      <c r="AX7" s="10" t="str">
        <f aca="false">IF(AW7&lt;&gt;"Normal","Super Over",IF(AG7=AR7,"Batting First","Chasing"))</f>
        <v>Batting First</v>
      </c>
      <c r="AY7" s="10" t="str">
        <f aca="false">IF(AA7=AG7,"Yes","No")</f>
        <v>No</v>
      </c>
      <c r="AZ7" s="10" t="str">
        <f aca="false">IF(ISNUMBER(SEARCH("Wicket",AK7)),"Wickets",IF(ISNUMBER(SEARCH("Run",AK7)),"Runs","Super Over"))</f>
        <v>Runs</v>
      </c>
      <c r="BA7" s="11" t="n">
        <f aca="false">IF(AZ7="Super Over","",VALUE(LEFT(AK7,FIND(" ",AK7)-1)))</f>
        <v>155</v>
      </c>
      <c r="BB7" s="11" t="n">
        <f aca="false">AE7+AF7</f>
        <v>231</v>
      </c>
      <c r="BC7" s="11" t="n">
        <f aca="false">ABS(AE7-AF7)</f>
        <v>155</v>
      </c>
      <c r="BD7" s="11" t="n">
        <f aca="false">AC7+AD7</f>
        <v>59</v>
      </c>
      <c r="BE7" s="11" t="n">
        <f aca="false">AI7+AJ7</f>
        <v>28</v>
      </c>
      <c r="BF7" s="10" t="str">
        <f aca="false">B7&amp;"|"&amp;H7</f>
        <v>Asia Cup 2022|Group Stage</v>
      </c>
    </row>
    <row r="8" customFormat="false" ht="23.85" hidden="false" customHeight="false" outlineLevel="0" collapsed="false">
      <c r="A8" s="10" t="s">
        <v>172</v>
      </c>
      <c r="B8" s="10" t="s">
        <v>98</v>
      </c>
      <c r="C8" s="11" t="n">
        <v>2022</v>
      </c>
      <c r="D8" s="11" t="n">
        <v>7</v>
      </c>
      <c r="E8" s="10" t="s">
        <v>173</v>
      </c>
      <c r="F8" s="12" t="n">
        <v>44807</v>
      </c>
      <c r="G8" s="10" t="s">
        <v>174</v>
      </c>
      <c r="H8" s="10" t="s">
        <v>174</v>
      </c>
      <c r="I8" s="10" t="s">
        <v>102</v>
      </c>
      <c r="J8" s="10" t="s">
        <v>140</v>
      </c>
      <c r="K8" s="10" t="s">
        <v>141</v>
      </c>
      <c r="L8" s="10" t="s">
        <v>105</v>
      </c>
      <c r="M8" s="10" t="s">
        <v>106</v>
      </c>
      <c r="N8" s="13" t="n">
        <v>58</v>
      </c>
      <c r="O8" s="13" t="n">
        <v>57</v>
      </c>
      <c r="P8" s="13" t="n">
        <v>65</v>
      </c>
      <c r="Q8" s="14" t="n">
        <v>20.12</v>
      </c>
      <c r="R8" s="14" t="n">
        <v>3.05</v>
      </c>
      <c r="S8" s="10" t="s">
        <v>175</v>
      </c>
      <c r="T8" s="15" t="n">
        <v>0.54</v>
      </c>
      <c r="U8" s="10" t="s">
        <v>108</v>
      </c>
      <c r="V8" s="16" t="n">
        <v>10</v>
      </c>
      <c r="W8" s="10" t="s">
        <v>109</v>
      </c>
      <c r="X8" s="17" t="s">
        <v>176</v>
      </c>
      <c r="Y8" s="10" t="s">
        <v>112</v>
      </c>
      <c r="Z8" s="10" t="s">
        <v>111</v>
      </c>
      <c r="AA8" s="10" t="s">
        <v>111</v>
      </c>
      <c r="AB8" s="10" t="s">
        <v>113</v>
      </c>
      <c r="AC8" s="11" t="n">
        <v>49</v>
      </c>
      <c r="AD8" s="11" t="n">
        <v>57</v>
      </c>
      <c r="AE8" s="11" t="n">
        <v>175</v>
      </c>
      <c r="AF8" s="11" t="n">
        <v>179</v>
      </c>
      <c r="AG8" s="10" t="s">
        <v>111</v>
      </c>
      <c r="AH8" s="10" t="s">
        <v>177</v>
      </c>
      <c r="AI8" s="11" t="n">
        <v>12</v>
      </c>
      <c r="AJ8" s="11" t="n">
        <v>5</v>
      </c>
      <c r="AK8" s="10" t="s">
        <v>178</v>
      </c>
      <c r="AL8" s="10" t="s">
        <v>116</v>
      </c>
      <c r="AM8" s="10" t="s">
        <v>136</v>
      </c>
      <c r="AN8" s="10" t="s">
        <v>117</v>
      </c>
      <c r="AO8" s="10" t="s">
        <v>119</v>
      </c>
      <c r="AP8" s="10" t="s">
        <v>179</v>
      </c>
      <c r="AQ8" s="17" t="s">
        <v>121</v>
      </c>
      <c r="AR8" s="10" t="str">
        <f aca="false">IF(AB8="Bat",AA8,IF(AA8=Y8,Z8,Y8))</f>
        <v>Afghanistan</v>
      </c>
      <c r="AS8" s="10" t="str">
        <f aca="false">IF(AR8=Y8,Z8,Y8)</f>
        <v>Sri Lanka</v>
      </c>
      <c r="AT8" s="11" t="n">
        <f aca="false">IF(AR8=Y8,AE8,AF8)</f>
        <v>175</v>
      </c>
      <c r="AU8" s="11" t="n">
        <f aca="false">IF(AR8=Y8,AF8,AE8)</f>
        <v>179</v>
      </c>
      <c r="AV8" s="10" t="str">
        <f aca="false">IF(AG8=Y8,Z8,Y8)</f>
        <v>Afghanistan</v>
      </c>
      <c r="AW8" s="10" t="str">
        <f aca="false">IF(AE8=AF8,"Tie (Super Over)","Normal")</f>
        <v>Normal</v>
      </c>
      <c r="AX8" s="10" t="str">
        <f aca="false">IF(AW8&lt;&gt;"Normal","Super Over",IF(AG8=AR8,"Batting First","Chasing"))</f>
        <v>Chasing</v>
      </c>
      <c r="AY8" s="10" t="str">
        <f aca="false">IF(AA8=AG8,"Yes","No")</f>
        <v>Yes</v>
      </c>
      <c r="AZ8" s="10" t="str">
        <f aca="false">IF(ISNUMBER(SEARCH("Wicket",AK8)),"Wickets",IF(ISNUMBER(SEARCH("Run",AK8)),"Runs","Super Over"))</f>
        <v>Wickets</v>
      </c>
      <c r="BA8" s="11" t="n">
        <f aca="false">IF(AZ8="Super Over","",VALUE(LEFT(AK8,FIND(" ",AK8)-1)))</f>
        <v>4</v>
      </c>
      <c r="BB8" s="11" t="n">
        <f aca="false">AE8+AF8</f>
        <v>354</v>
      </c>
      <c r="BC8" s="11" t="n">
        <f aca="false">ABS(AE8-AF8)</f>
        <v>4</v>
      </c>
      <c r="BD8" s="11" t="n">
        <f aca="false">AC8+AD8</f>
        <v>106</v>
      </c>
      <c r="BE8" s="11" t="n">
        <f aca="false">AI8+AJ8</f>
        <v>17</v>
      </c>
      <c r="BF8" s="10" t="str">
        <f aca="false">B8&amp;"|"&amp;H8</f>
        <v>Asia Cup 2022|Super Four</v>
      </c>
    </row>
    <row r="9" customFormat="false" ht="15" hidden="false" customHeight="false" outlineLevel="0" collapsed="false">
      <c r="A9" s="10" t="s">
        <v>180</v>
      </c>
      <c r="B9" s="10" t="s">
        <v>98</v>
      </c>
      <c r="C9" s="11" t="n">
        <v>2022</v>
      </c>
      <c r="D9" s="11" t="n">
        <v>8</v>
      </c>
      <c r="E9" s="10" t="s">
        <v>181</v>
      </c>
      <c r="F9" s="12" t="n">
        <v>44808</v>
      </c>
      <c r="G9" s="10" t="s">
        <v>174</v>
      </c>
      <c r="H9" s="10" t="s">
        <v>174</v>
      </c>
      <c r="I9" s="10" t="s">
        <v>125</v>
      </c>
      <c r="J9" s="10" t="s">
        <v>103</v>
      </c>
      <c r="K9" s="10" t="s">
        <v>104</v>
      </c>
      <c r="L9" s="10" t="s">
        <v>105</v>
      </c>
      <c r="M9" s="10" t="s">
        <v>106</v>
      </c>
      <c r="N9" s="13" t="n">
        <v>65</v>
      </c>
      <c r="O9" s="13" t="n">
        <v>80</v>
      </c>
      <c r="P9" s="13" t="n">
        <v>75</v>
      </c>
      <c r="Q9" s="14" t="n">
        <v>20.12</v>
      </c>
      <c r="R9" s="14" t="n">
        <v>3.05</v>
      </c>
      <c r="S9" s="10" t="s">
        <v>126</v>
      </c>
      <c r="T9" s="15" t="n">
        <v>0.58</v>
      </c>
      <c r="U9" s="10" t="s">
        <v>152</v>
      </c>
      <c r="V9" s="16" t="n">
        <v>11</v>
      </c>
      <c r="W9" s="10" t="s">
        <v>153</v>
      </c>
      <c r="X9" s="17" t="s">
        <v>182</v>
      </c>
      <c r="Y9" s="10" t="s">
        <v>130</v>
      </c>
      <c r="Z9" s="10" t="s">
        <v>129</v>
      </c>
      <c r="AA9" s="10" t="s">
        <v>130</v>
      </c>
      <c r="AB9" s="10" t="s">
        <v>145</v>
      </c>
      <c r="AC9" s="11" t="n">
        <v>62</v>
      </c>
      <c r="AD9" s="11" t="n">
        <v>44</v>
      </c>
      <c r="AE9" s="11" t="n">
        <v>181</v>
      </c>
      <c r="AF9" s="11" t="n">
        <v>182</v>
      </c>
      <c r="AG9" s="10" t="s">
        <v>129</v>
      </c>
      <c r="AH9" s="10" t="s">
        <v>183</v>
      </c>
      <c r="AI9" s="11" t="n">
        <v>14</v>
      </c>
      <c r="AJ9" s="11" t="n">
        <v>8</v>
      </c>
      <c r="AK9" s="10" t="s">
        <v>132</v>
      </c>
      <c r="AL9" s="10" t="s">
        <v>133</v>
      </c>
      <c r="AM9" s="10" t="s">
        <v>135</v>
      </c>
      <c r="AN9" s="10" t="s">
        <v>135</v>
      </c>
      <c r="AO9" s="10" t="s">
        <v>158</v>
      </c>
      <c r="AP9" s="10" t="s">
        <v>179</v>
      </c>
      <c r="AQ9" s="17" t="s">
        <v>121</v>
      </c>
      <c r="AR9" s="10" t="str">
        <f aca="false">IF(AB9="Bat",AA9,IF(AA9=Y9,Z9,Y9))</f>
        <v>India</v>
      </c>
      <c r="AS9" s="10" t="str">
        <f aca="false">IF(AR9=Y9,Z9,Y9)</f>
        <v>Pakistan</v>
      </c>
      <c r="AT9" s="11" t="n">
        <f aca="false">IF(AR9=Y9,AE9,AF9)</f>
        <v>181</v>
      </c>
      <c r="AU9" s="11" t="n">
        <f aca="false">IF(AR9=Y9,AF9,AE9)</f>
        <v>182</v>
      </c>
      <c r="AV9" s="10" t="str">
        <f aca="false">IF(AG9=Y9,Z9,Y9)</f>
        <v>India</v>
      </c>
      <c r="AW9" s="10" t="str">
        <f aca="false">IF(AE9=AF9,"Tie (Super Over)","Normal")</f>
        <v>Normal</v>
      </c>
      <c r="AX9" s="10" t="str">
        <f aca="false">IF(AW9&lt;&gt;"Normal","Super Over",IF(AG9=AR9,"Batting First","Chasing"))</f>
        <v>Chasing</v>
      </c>
      <c r="AY9" s="10" t="str">
        <f aca="false">IF(AA9=AG9,"Yes","No")</f>
        <v>No</v>
      </c>
      <c r="AZ9" s="10" t="str">
        <f aca="false">IF(ISNUMBER(SEARCH("Wicket",AK9)),"Wickets",IF(ISNUMBER(SEARCH("Run",AK9)),"Runs","Super Over"))</f>
        <v>Wickets</v>
      </c>
      <c r="BA9" s="11" t="n">
        <f aca="false">IF(AZ9="Super Over","",VALUE(LEFT(AK9,FIND(" ",AK9)-1)))</f>
        <v>5</v>
      </c>
      <c r="BB9" s="11" t="n">
        <f aca="false">AE9+AF9</f>
        <v>363</v>
      </c>
      <c r="BC9" s="11" t="n">
        <f aca="false">ABS(AE9-AF9)</f>
        <v>1</v>
      </c>
      <c r="BD9" s="11" t="n">
        <f aca="false">AC9+AD9</f>
        <v>106</v>
      </c>
      <c r="BE9" s="11" t="n">
        <f aca="false">AI9+AJ9</f>
        <v>22</v>
      </c>
      <c r="BF9" s="10" t="str">
        <f aca="false">B9&amp;"|"&amp;H9</f>
        <v>Asia Cup 2022|Super Four</v>
      </c>
    </row>
    <row r="10" customFormat="false" ht="23.85" hidden="false" customHeight="false" outlineLevel="0" collapsed="false">
      <c r="A10" s="10" t="s">
        <v>184</v>
      </c>
      <c r="B10" s="10" t="s">
        <v>98</v>
      </c>
      <c r="C10" s="11" t="n">
        <v>2022</v>
      </c>
      <c r="D10" s="11" t="n">
        <v>9</v>
      </c>
      <c r="E10" s="10" t="s">
        <v>185</v>
      </c>
      <c r="F10" s="12" t="n">
        <v>44810</v>
      </c>
      <c r="G10" s="10" t="s">
        <v>174</v>
      </c>
      <c r="H10" s="10" t="s">
        <v>174</v>
      </c>
      <c r="I10" s="10" t="s">
        <v>139</v>
      </c>
      <c r="J10" s="10" t="s">
        <v>103</v>
      </c>
      <c r="K10" s="10" t="s">
        <v>104</v>
      </c>
      <c r="L10" s="10" t="s">
        <v>105</v>
      </c>
      <c r="M10" s="10" t="s">
        <v>106</v>
      </c>
      <c r="N10" s="13" t="n">
        <v>65</v>
      </c>
      <c r="O10" s="13" t="n">
        <v>80</v>
      </c>
      <c r="P10" s="13" t="n">
        <v>75</v>
      </c>
      <c r="Q10" s="14" t="n">
        <v>20.12</v>
      </c>
      <c r="R10" s="14" t="n">
        <v>3.05</v>
      </c>
      <c r="S10" s="10" t="s">
        <v>186</v>
      </c>
      <c r="T10" s="15" t="n">
        <v>0.42</v>
      </c>
      <c r="U10" s="10" t="s">
        <v>108</v>
      </c>
      <c r="V10" s="16" t="n">
        <v>12</v>
      </c>
      <c r="W10" s="10" t="s">
        <v>153</v>
      </c>
      <c r="X10" s="17" t="s">
        <v>187</v>
      </c>
      <c r="Y10" s="10" t="s">
        <v>130</v>
      </c>
      <c r="Z10" s="10" t="s">
        <v>111</v>
      </c>
      <c r="AA10" s="10" t="s">
        <v>111</v>
      </c>
      <c r="AB10" s="10" t="s">
        <v>113</v>
      </c>
      <c r="AC10" s="11" t="n">
        <v>44</v>
      </c>
      <c r="AD10" s="11" t="n">
        <v>57</v>
      </c>
      <c r="AE10" s="11" t="n">
        <v>173</v>
      </c>
      <c r="AF10" s="11" t="n">
        <v>174</v>
      </c>
      <c r="AG10" s="10" t="s">
        <v>111</v>
      </c>
      <c r="AH10" s="10" t="s">
        <v>188</v>
      </c>
      <c r="AI10" s="11" t="n">
        <v>8</v>
      </c>
      <c r="AJ10" s="11" t="n">
        <v>6</v>
      </c>
      <c r="AK10" s="10" t="s">
        <v>189</v>
      </c>
      <c r="AL10" s="10" t="s">
        <v>116</v>
      </c>
      <c r="AM10" s="10" t="s">
        <v>165</v>
      </c>
      <c r="AN10" s="10" t="s">
        <v>158</v>
      </c>
      <c r="AO10" s="10" t="s">
        <v>119</v>
      </c>
      <c r="AP10" s="10" t="s">
        <v>179</v>
      </c>
      <c r="AQ10" s="17" t="s">
        <v>121</v>
      </c>
      <c r="AR10" s="10" t="str">
        <f aca="false">IF(AB10="Bat",AA10,IF(AA10=Y10,Z10,Y10))</f>
        <v>India</v>
      </c>
      <c r="AS10" s="10" t="str">
        <f aca="false">IF(AR10=Y10,Z10,Y10)</f>
        <v>Sri Lanka</v>
      </c>
      <c r="AT10" s="11" t="n">
        <f aca="false">IF(AR10=Y10,AE10,AF10)</f>
        <v>173</v>
      </c>
      <c r="AU10" s="11" t="n">
        <f aca="false">IF(AR10=Y10,AF10,AE10)</f>
        <v>174</v>
      </c>
      <c r="AV10" s="10" t="str">
        <f aca="false">IF(AG10=Y10,Z10,Y10)</f>
        <v>India</v>
      </c>
      <c r="AW10" s="10" t="str">
        <f aca="false">IF(AE10=AF10,"Tie (Super Over)","Normal")</f>
        <v>Normal</v>
      </c>
      <c r="AX10" s="10" t="str">
        <f aca="false">IF(AW10&lt;&gt;"Normal","Super Over",IF(AG10=AR10,"Batting First","Chasing"))</f>
        <v>Chasing</v>
      </c>
      <c r="AY10" s="10" t="str">
        <f aca="false">IF(AA10=AG10,"Yes","No")</f>
        <v>Yes</v>
      </c>
      <c r="AZ10" s="10" t="str">
        <f aca="false">IF(ISNUMBER(SEARCH("Wicket",AK10)),"Wickets",IF(ISNUMBER(SEARCH("Run",AK10)),"Runs","Super Over"))</f>
        <v>Wickets</v>
      </c>
      <c r="BA10" s="11" t="n">
        <f aca="false">IF(AZ10="Super Over","",VALUE(LEFT(AK10,FIND(" ",AK10)-1)))</f>
        <v>6</v>
      </c>
      <c r="BB10" s="11" t="n">
        <f aca="false">AE10+AF10</f>
        <v>347</v>
      </c>
      <c r="BC10" s="11" t="n">
        <f aca="false">ABS(AE10-AF10)</f>
        <v>1</v>
      </c>
      <c r="BD10" s="11" t="n">
        <f aca="false">AC10+AD10</f>
        <v>101</v>
      </c>
      <c r="BE10" s="11" t="n">
        <f aca="false">AI10+AJ10</f>
        <v>14</v>
      </c>
      <c r="BF10" s="10" t="str">
        <f aca="false">B10&amp;"|"&amp;H10</f>
        <v>Asia Cup 2022|Super Four</v>
      </c>
    </row>
    <row r="11" customFormat="false" ht="23.85" hidden="false" customHeight="false" outlineLevel="0" collapsed="false">
      <c r="A11" s="10" t="s">
        <v>190</v>
      </c>
      <c r="B11" s="10" t="s">
        <v>98</v>
      </c>
      <c r="C11" s="11" t="n">
        <v>2022</v>
      </c>
      <c r="D11" s="11" t="n">
        <v>10</v>
      </c>
      <c r="E11" s="10" t="s">
        <v>191</v>
      </c>
      <c r="F11" s="12" t="n">
        <v>44811</v>
      </c>
      <c r="G11" s="10" t="s">
        <v>174</v>
      </c>
      <c r="H11" s="10" t="s">
        <v>174</v>
      </c>
      <c r="I11" s="10" t="s">
        <v>150</v>
      </c>
      <c r="J11" s="10" t="s">
        <v>140</v>
      </c>
      <c r="K11" s="10" t="s">
        <v>141</v>
      </c>
      <c r="L11" s="10" t="s">
        <v>105</v>
      </c>
      <c r="M11" s="10" t="s">
        <v>106</v>
      </c>
      <c r="N11" s="13" t="n">
        <v>58</v>
      </c>
      <c r="O11" s="13" t="n">
        <v>57</v>
      </c>
      <c r="P11" s="13" t="n">
        <v>65</v>
      </c>
      <c r="Q11" s="14" t="n">
        <v>20.12</v>
      </c>
      <c r="R11" s="14" t="n">
        <v>3.05</v>
      </c>
      <c r="S11" s="10" t="s">
        <v>192</v>
      </c>
      <c r="T11" s="15" t="n">
        <v>0.48</v>
      </c>
      <c r="U11" s="10" t="s">
        <v>152</v>
      </c>
      <c r="V11" s="16" t="n">
        <v>14</v>
      </c>
      <c r="W11" s="10" t="s">
        <v>193</v>
      </c>
      <c r="X11" s="17" t="s">
        <v>194</v>
      </c>
      <c r="Y11" s="10" t="s">
        <v>112</v>
      </c>
      <c r="Z11" s="10" t="s">
        <v>129</v>
      </c>
      <c r="AA11" s="10" t="s">
        <v>129</v>
      </c>
      <c r="AB11" s="10" t="s">
        <v>113</v>
      </c>
      <c r="AC11" s="11" t="n">
        <v>48</v>
      </c>
      <c r="AD11" s="11" t="n">
        <v>35</v>
      </c>
      <c r="AE11" s="11" t="n">
        <v>129</v>
      </c>
      <c r="AF11" s="11" t="n">
        <v>131</v>
      </c>
      <c r="AG11" s="10" t="s">
        <v>129</v>
      </c>
      <c r="AH11" s="10" t="s">
        <v>195</v>
      </c>
      <c r="AI11" s="11" t="n">
        <v>3</v>
      </c>
      <c r="AJ11" s="11" t="n">
        <v>5</v>
      </c>
      <c r="AK11" s="10" t="s">
        <v>196</v>
      </c>
      <c r="AL11" s="10" t="s">
        <v>117</v>
      </c>
      <c r="AM11" s="10" t="s">
        <v>118</v>
      </c>
      <c r="AN11" s="10" t="s">
        <v>136</v>
      </c>
      <c r="AO11" s="10" t="s">
        <v>135</v>
      </c>
      <c r="AP11" s="10" t="s">
        <v>179</v>
      </c>
      <c r="AQ11" s="17" t="s">
        <v>121</v>
      </c>
      <c r="AR11" s="10" t="str">
        <f aca="false">IF(AB11="Bat",AA11,IF(AA11=Y11,Z11,Y11))</f>
        <v>Afghanistan</v>
      </c>
      <c r="AS11" s="10" t="str">
        <f aca="false">IF(AR11=Y11,Z11,Y11)</f>
        <v>Pakistan</v>
      </c>
      <c r="AT11" s="11" t="n">
        <f aca="false">IF(AR11=Y11,AE11,AF11)</f>
        <v>129</v>
      </c>
      <c r="AU11" s="11" t="n">
        <f aca="false">IF(AR11=Y11,AF11,AE11)</f>
        <v>131</v>
      </c>
      <c r="AV11" s="10" t="str">
        <f aca="false">IF(AG11=Y11,Z11,Y11)</f>
        <v>Afghanistan</v>
      </c>
      <c r="AW11" s="10" t="str">
        <f aca="false">IF(AE11=AF11,"Tie (Super Over)","Normal")</f>
        <v>Normal</v>
      </c>
      <c r="AX11" s="10" t="str">
        <f aca="false">IF(AW11&lt;&gt;"Normal","Super Over",IF(AG11=AR11,"Batting First","Chasing"))</f>
        <v>Chasing</v>
      </c>
      <c r="AY11" s="10" t="str">
        <f aca="false">IF(AA11=AG11,"Yes","No")</f>
        <v>Yes</v>
      </c>
      <c r="AZ11" s="10" t="str">
        <f aca="false">IF(ISNUMBER(SEARCH("Wicket",AK11)),"Wickets",IF(ISNUMBER(SEARCH("Run",AK11)),"Runs","Super Over"))</f>
        <v>Wickets</v>
      </c>
      <c r="BA11" s="11" t="n">
        <f aca="false">IF(AZ11="Super Over","",VALUE(LEFT(AK11,FIND(" ",AK11)-1)))</f>
        <v>1</v>
      </c>
      <c r="BB11" s="11" t="n">
        <f aca="false">AE11+AF11</f>
        <v>260</v>
      </c>
      <c r="BC11" s="11" t="n">
        <f aca="false">ABS(AE11-AF11)</f>
        <v>2</v>
      </c>
      <c r="BD11" s="11" t="n">
        <f aca="false">AC11+AD11</f>
        <v>83</v>
      </c>
      <c r="BE11" s="11" t="n">
        <f aca="false">AI11+AJ11</f>
        <v>8</v>
      </c>
      <c r="BF11" s="10" t="str">
        <f aca="false">B11&amp;"|"&amp;H11</f>
        <v>Asia Cup 2022|Super Four</v>
      </c>
    </row>
    <row r="12" customFormat="false" ht="23.85" hidden="false" customHeight="false" outlineLevel="0" collapsed="false">
      <c r="A12" s="10" t="s">
        <v>197</v>
      </c>
      <c r="B12" s="10" t="s">
        <v>98</v>
      </c>
      <c r="C12" s="11" t="n">
        <v>2022</v>
      </c>
      <c r="D12" s="11" t="n">
        <v>11</v>
      </c>
      <c r="E12" s="10" t="s">
        <v>198</v>
      </c>
      <c r="F12" s="12" t="n">
        <v>44812</v>
      </c>
      <c r="G12" s="10" t="s">
        <v>174</v>
      </c>
      <c r="H12" s="10" t="s">
        <v>174</v>
      </c>
      <c r="I12" s="10" t="s">
        <v>161</v>
      </c>
      <c r="J12" s="10" t="s">
        <v>103</v>
      </c>
      <c r="K12" s="10" t="s">
        <v>104</v>
      </c>
      <c r="L12" s="10" t="s">
        <v>105</v>
      </c>
      <c r="M12" s="10" t="s">
        <v>106</v>
      </c>
      <c r="N12" s="13" t="n">
        <v>65</v>
      </c>
      <c r="O12" s="13" t="n">
        <v>80</v>
      </c>
      <c r="P12" s="13" t="n">
        <v>75</v>
      </c>
      <c r="Q12" s="14" t="n">
        <v>20.12</v>
      </c>
      <c r="R12" s="14" t="n">
        <v>3.05</v>
      </c>
      <c r="S12" s="10" t="s">
        <v>151</v>
      </c>
      <c r="T12" s="15" t="n">
        <v>0.52</v>
      </c>
      <c r="U12" s="10" t="s">
        <v>108</v>
      </c>
      <c r="V12" s="16" t="n">
        <v>13</v>
      </c>
      <c r="W12" s="10" t="s">
        <v>199</v>
      </c>
      <c r="X12" s="17" t="s">
        <v>200</v>
      </c>
      <c r="Y12" s="10" t="s">
        <v>130</v>
      </c>
      <c r="Z12" s="10" t="s">
        <v>112</v>
      </c>
      <c r="AA12" s="10" t="s">
        <v>112</v>
      </c>
      <c r="AB12" s="10" t="s">
        <v>113</v>
      </c>
      <c r="AC12" s="11" t="n">
        <v>52</v>
      </c>
      <c r="AD12" s="11" t="n">
        <v>21</v>
      </c>
      <c r="AE12" s="11" t="n">
        <v>212</v>
      </c>
      <c r="AF12" s="11" t="n">
        <v>111</v>
      </c>
      <c r="AG12" s="10" t="s">
        <v>130</v>
      </c>
      <c r="AH12" s="10" t="s">
        <v>201</v>
      </c>
      <c r="AI12" s="11" t="n">
        <v>2</v>
      </c>
      <c r="AJ12" s="11" t="n">
        <v>3</v>
      </c>
      <c r="AK12" s="10" t="s">
        <v>202</v>
      </c>
      <c r="AL12" s="10" t="s">
        <v>119</v>
      </c>
      <c r="AM12" s="10" t="s">
        <v>134</v>
      </c>
      <c r="AN12" s="10" t="s">
        <v>135</v>
      </c>
      <c r="AO12" s="10" t="s">
        <v>136</v>
      </c>
      <c r="AP12" s="10" t="s">
        <v>179</v>
      </c>
      <c r="AQ12" s="17" t="s">
        <v>121</v>
      </c>
      <c r="AR12" s="10" t="str">
        <f aca="false">IF(AB12="Bat",AA12,IF(AA12=Y12,Z12,Y12))</f>
        <v>India</v>
      </c>
      <c r="AS12" s="10" t="str">
        <f aca="false">IF(AR12=Y12,Z12,Y12)</f>
        <v>Afghanistan</v>
      </c>
      <c r="AT12" s="11" t="n">
        <f aca="false">IF(AR12=Y12,AE12,AF12)</f>
        <v>212</v>
      </c>
      <c r="AU12" s="11" t="n">
        <f aca="false">IF(AR12=Y12,AF12,AE12)</f>
        <v>111</v>
      </c>
      <c r="AV12" s="10" t="str">
        <f aca="false">IF(AG12=Y12,Z12,Y12)</f>
        <v>Afghanistan</v>
      </c>
      <c r="AW12" s="10" t="str">
        <f aca="false">IF(AE12=AF12,"Tie (Super Over)","Normal")</f>
        <v>Normal</v>
      </c>
      <c r="AX12" s="10" t="str">
        <f aca="false">IF(AW12&lt;&gt;"Normal","Super Over",IF(AG12=AR12,"Batting First","Chasing"))</f>
        <v>Batting First</v>
      </c>
      <c r="AY12" s="10" t="str">
        <f aca="false">IF(AA12=AG12,"Yes","No")</f>
        <v>No</v>
      </c>
      <c r="AZ12" s="10" t="str">
        <f aca="false">IF(ISNUMBER(SEARCH("Wicket",AK12)),"Wickets",IF(ISNUMBER(SEARCH("Run",AK12)),"Runs","Super Over"))</f>
        <v>Runs</v>
      </c>
      <c r="BA12" s="11" t="n">
        <f aca="false">IF(AZ12="Super Over","",VALUE(LEFT(AK12,FIND(" ",AK12)-1)))</f>
        <v>101</v>
      </c>
      <c r="BB12" s="11" t="n">
        <f aca="false">AE12+AF12</f>
        <v>323</v>
      </c>
      <c r="BC12" s="11" t="n">
        <f aca="false">ABS(AE12-AF12)</f>
        <v>101</v>
      </c>
      <c r="BD12" s="11" t="n">
        <f aca="false">AC12+AD12</f>
        <v>73</v>
      </c>
      <c r="BE12" s="11" t="n">
        <f aca="false">AI12+AJ12</f>
        <v>5</v>
      </c>
      <c r="BF12" s="10" t="str">
        <f aca="false">B12&amp;"|"&amp;H12</f>
        <v>Asia Cup 2022|Super Four</v>
      </c>
    </row>
    <row r="13" customFormat="false" ht="15" hidden="false" customHeight="false" outlineLevel="0" collapsed="false">
      <c r="A13" s="10" t="s">
        <v>203</v>
      </c>
      <c r="B13" s="10" t="s">
        <v>98</v>
      </c>
      <c r="C13" s="11" t="n">
        <v>2022</v>
      </c>
      <c r="D13" s="11" t="n">
        <v>12</v>
      </c>
      <c r="E13" s="10" t="s">
        <v>204</v>
      </c>
      <c r="F13" s="12" t="n">
        <v>44813</v>
      </c>
      <c r="G13" s="10" t="s">
        <v>174</v>
      </c>
      <c r="H13" s="10" t="s">
        <v>174</v>
      </c>
      <c r="I13" s="10" t="s">
        <v>168</v>
      </c>
      <c r="J13" s="10" t="s">
        <v>103</v>
      </c>
      <c r="K13" s="10" t="s">
        <v>104</v>
      </c>
      <c r="L13" s="10" t="s">
        <v>105</v>
      </c>
      <c r="M13" s="10" t="s">
        <v>106</v>
      </c>
      <c r="N13" s="13" t="n">
        <v>65</v>
      </c>
      <c r="O13" s="13" t="n">
        <v>80</v>
      </c>
      <c r="P13" s="13" t="n">
        <v>75</v>
      </c>
      <c r="Q13" s="14" t="n">
        <v>20.12</v>
      </c>
      <c r="R13" s="14" t="n">
        <v>3.05</v>
      </c>
      <c r="S13" s="10" t="s">
        <v>205</v>
      </c>
      <c r="T13" s="15" t="n">
        <v>0.56</v>
      </c>
      <c r="U13" s="10" t="s">
        <v>108</v>
      </c>
      <c r="V13" s="16" t="n">
        <v>11</v>
      </c>
      <c r="W13" s="10" t="s">
        <v>153</v>
      </c>
      <c r="X13" s="17" t="s">
        <v>206</v>
      </c>
      <c r="Y13" s="10" t="s">
        <v>129</v>
      </c>
      <c r="Z13" s="10" t="s">
        <v>111</v>
      </c>
      <c r="AA13" s="10" t="s">
        <v>111</v>
      </c>
      <c r="AB13" s="10" t="s">
        <v>113</v>
      </c>
      <c r="AC13" s="11" t="n">
        <v>49</v>
      </c>
      <c r="AD13" s="11" t="n">
        <v>37</v>
      </c>
      <c r="AE13" s="11" t="n">
        <v>121</v>
      </c>
      <c r="AF13" s="11" t="n">
        <v>124</v>
      </c>
      <c r="AG13" s="10" t="s">
        <v>111</v>
      </c>
      <c r="AH13" s="10" t="s">
        <v>207</v>
      </c>
      <c r="AI13" s="11" t="n">
        <v>17</v>
      </c>
      <c r="AJ13" s="11" t="n">
        <v>5</v>
      </c>
      <c r="AK13" s="10" t="s">
        <v>132</v>
      </c>
      <c r="AL13" s="10" t="s">
        <v>158</v>
      </c>
      <c r="AM13" s="10" t="s">
        <v>117</v>
      </c>
      <c r="AN13" s="10" t="s">
        <v>133</v>
      </c>
      <c r="AO13" s="10" t="s">
        <v>165</v>
      </c>
      <c r="AP13" s="10" t="s">
        <v>179</v>
      </c>
      <c r="AQ13" s="17" t="s">
        <v>121</v>
      </c>
      <c r="AR13" s="10" t="str">
        <f aca="false">IF(AB13="Bat",AA13,IF(AA13=Y13,Z13,Y13))</f>
        <v>Pakistan</v>
      </c>
      <c r="AS13" s="10" t="str">
        <f aca="false">IF(AR13=Y13,Z13,Y13)</f>
        <v>Sri Lanka</v>
      </c>
      <c r="AT13" s="11" t="n">
        <f aca="false">IF(AR13=Y13,AE13,AF13)</f>
        <v>121</v>
      </c>
      <c r="AU13" s="11" t="n">
        <f aca="false">IF(AR13=Y13,AF13,AE13)</f>
        <v>124</v>
      </c>
      <c r="AV13" s="10" t="str">
        <f aca="false">IF(AG13=Y13,Z13,Y13)</f>
        <v>Pakistan</v>
      </c>
      <c r="AW13" s="10" t="str">
        <f aca="false">IF(AE13=AF13,"Tie (Super Over)","Normal")</f>
        <v>Normal</v>
      </c>
      <c r="AX13" s="10" t="str">
        <f aca="false">IF(AW13&lt;&gt;"Normal","Super Over",IF(AG13=AR13,"Batting First","Chasing"))</f>
        <v>Chasing</v>
      </c>
      <c r="AY13" s="10" t="str">
        <f aca="false">IF(AA13=AG13,"Yes","No")</f>
        <v>Yes</v>
      </c>
      <c r="AZ13" s="10" t="str">
        <f aca="false">IF(ISNUMBER(SEARCH("Wicket",AK13)),"Wickets",IF(ISNUMBER(SEARCH("Run",AK13)),"Runs","Super Over"))</f>
        <v>Wickets</v>
      </c>
      <c r="BA13" s="11" t="n">
        <f aca="false">IF(AZ13="Super Over","",VALUE(LEFT(AK13,FIND(" ",AK13)-1)))</f>
        <v>5</v>
      </c>
      <c r="BB13" s="11" t="n">
        <f aca="false">AE13+AF13</f>
        <v>245</v>
      </c>
      <c r="BC13" s="11" t="n">
        <f aca="false">ABS(AE13-AF13)</f>
        <v>3</v>
      </c>
      <c r="BD13" s="11" t="n">
        <f aca="false">AC13+AD13</f>
        <v>86</v>
      </c>
      <c r="BE13" s="11" t="n">
        <f aca="false">AI13+AJ13</f>
        <v>22</v>
      </c>
      <c r="BF13" s="10" t="str">
        <f aca="false">B13&amp;"|"&amp;H13</f>
        <v>Asia Cup 2022|Super Four</v>
      </c>
    </row>
    <row r="14" customFormat="false" ht="23.85" hidden="false" customHeight="false" outlineLevel="0" collapsed="false">
      <c r="A14" s="10" t="s">
        <v>208</v>
      </c>
      <c r="B14" s="10" t="s">
        <v>98</v>
      </c>
      <c r="C14" s="11" t="n">
        <v>2022</v>
      </c>
      <c r="D14" s="11" t="n">
        <v>13</v>
      </c>
      <c r="E14" s="10" t="s">
        <v>209</v>
      </c>
      <c r="F14" s="12" t="n">
        <v>44815</v>
      </c>
      <c r="G14" s="10" t="s">
        <v>209</v>
      </c>
      <c r="H14" s="10" t="s">
        <v>209</v>
      </c>
      <c r="I14" s="10" t="s">
        <v>125</v>
      </c>
      <c r="J14" s="10" t="s">
        <v>103</v>
      </c>
      <c r="K14" s="10" t="s">
        <v>104</v>
      </c>
      <c r="L14" s="10" t="s">
        <v>105</v>
      </c>
      <c r="M14" s="10" t="s">
        <v>106</v>
      </c>
      <c r="N14" s="13" t="n">
        <v>65</v>
      </c>
      <c r="O14" s="13" t="n">
        <v>80</v>
      </c>
      <c r="P14" s="13" t="n">
        <v>75</v>
      </c>
      <c r="Q14" s="14" t="n">
        <v>20.12</v>
      </c>
      <c r="R14" s="14" t="n">
        <v>3.05</v>
      </c>
      <c r="S14" s="10" t="s">
        <v>126</v>
      </c>
      <c r="T14" s="15" t="n">
        <v>0.6</v>
      </c>
      <c r="U14" s="10" t="s">
        <v>152</v>
      </c>
      <c r="V14" s="16" t="n">
        <v>12</v>
      </c>
      <c r="W14" s="10" t="s">
        <v>153</v>
      </c>
      <c r="X14" s="17" t="s">
        <v>210</v>
      </c>
      <c r="Y14" s="10" t="s">
        <v>111</v>
      </c>
      <c r="Z14" s="10" t="s">
        <v>129</v>
      </c>
      <c r="AA14" s="10" t="s">
        <v>129</v>
      </c>
      <c r="AB14" s="10" t="s">
        <v>113</v>
      </c>
      <c r="AC14" s="11" t="n">
        <v>42</v>
      </c>
      <c r="AD14" s="11" t="n">
        <v>37</v>
      </c>
      <c r="AE14" s="11" t="n">
        <v>170</v>
      </c>
      <c r="AF14" s="11" t="n">
        <v>147</v>
      </c>
      <c r="AG14" s="10" t="s">
        <v>111</v>
      </c>
      <c r="AH14" s="10" t="s">
        <v>211</v>
      </c>
      <c r="AI14" s="11" t="n">
        <v>10</v>
      </c>
      <c r="AJ14" s="11" t="n">
        <v>14</v>
      </c>
      <c r="AK14" s="10" t="s">
        <v>212</v>
      </c>
      <c r="AL14" s="10" t="s">
        <v>117</v>
      </c>
      <c r="AM14" s="10" t="s">
        <v>133</v>
      </c>
      <c r="AN14" s="10" t="s">
        <v>165</v>
      </c>
      <c r="AO14" s="10" t="s">
        <v>118</v>
      </c>
      <c r="AP14" s="10" t="s">
        <v>179</v>
      </c>
      <c r="AQ14" s="17" t="s">
        <v>121</v>
      </c>
      <c r="AR14" s="10" t="str">
        <f aca="false">IF(AB14="Bat",AA14,IF(AA14=Y14,Z14,Y14))</f>
        <v>Sri Lanka</v>
      </c>
      <c r="AS14" s="10" t="str">
        <f aca="false">IF(AR14=Y14,Z14,Y14)</f>
        <v>Pakistan</v>
      </c>
      <c r="AT14" s="11" t="n">
        <f aca="false">IF(AR14=Y14,AE14,AF14)</f>
        <v>170</v>
      </c>
      <c r="AU14" s="11" t="n">
        <f aca="false">IF(AR14=Y14,AF14,AE14)</f>
        <v>147</v>
      </c>
      <c r="AV14" s="10" t="str">
        <f aca="false">IF(AG14=Y14,Z14,Y14)</f>
        <v>Pakistan</v>
      </c>
      <c r="AW14" s="10" t="str">
        <f aca="false">IF(AE14=AF14,"Tie (Super Over)","Normal")</f>
        <v>Normal</v>
      </c>
      <c r="AX14" s="10" t="str">
        <f aca="false">IF(AW14&lt;&gt;"Normal","Super Over",IF(AG14=AR14,"Batting First","Chasing"))</f>
        <v>Batting First</v>
      </c>
      <c r="AY14" s="10" t="str">
        <f aca="false">IF(AA14=AG14,"Yes","No")</f>
        <v>No</v>
      </c>
      <c r="AZ14" s="10" t="str">
        <f aca="false">IF(ISNUMBER(SEARCH("Wicket",AK14)),"Wickets",IF(ISNUMBER(SEARCH("Run",AK14)),"Runs","Super Over"))</f>
        <v>Runs</v>
      </c>
      <c r="BA14" s="11" t="n">
        <f aca="false">IF(AZ14="Super Over","",VALUE(LEFT(AK14,FIND(" ",AK14)-1)))</f>
        <v>23</v>
      </c>
      <c r="BB14" s="11" t="n">
        <f aca="false">AE14+AF14</f>
        <v>317</v>
      </c>
      <c r="BC14" s="11" t="n">
        <f aca="false">ABS(AE14-AF14)</f>
        <v>23</v>
      </c>
      <c r="BD14" s="11" t="n">
        <f aca="false">AC14+AD14</f>
        <v>79</v>
      </c>
      <c r="BE14" s="11" t="n">
        <f aca="false">AI14+AJ14</f>
        <v>24</v>
      </c>
      <c r="BF14" s="10" t="str">
        <f aca="false">B14&amp;"|"&amp;H14</f>
        <v>Asia Cup 2022|Final</v>
      </c>
    </row>
    <row r="15" customFormat="false" ht="23.85" hidden="false" customHeight="false" outlineLevel="0" collapsed="false">
      <c r="A15" s="10" t="s">
        <v>213</v>
      </c>
      <c r="B15" s="10" t="s">
        <v>214</v>
      </c>
      <c r="C15" s="11" t="n">
        <v>2025</v>
      </c>
      <c r="D15" s="11" t="n">
        <v>1</v>
      </c>
      <c r="E15" s="10" t="s">
        <v>99</v>
      </c>
      <c r="F15" s="12" t="n">
        <v>45909</v>
      </c>
      <c r="G15" s="10" t="s">
        <v>100</v>
      </c>
      <c r="H15" s="10" t="s">
        <v>101</v>
      </c>
      <c r="I15" s="10" t="s">
        <v>139</v>
      </c>
      <c r="J15" s="10" t="s">
        <v>215</v>
      </c>
      <c r="K15" s="10" t="s">
        <v>216</v>
      </c>
      <c r="L15" s="10" t="s">
        <v>217</v>
      </c>
      <c r="M15" s="10" t="s">
        <v>106</v>
      </c>
      <c r="N15" s="13"/>
      <c r="O15" s="13"/>
      <c r="P15" s="13"/>
      <c r="Q15" s="14" t="n">
        <v>20.12</v>
      </c>
      <c r="R15" s="14" t="n">
        <v>3.05</v>
      </c>
      <c r="S15" s="10" t="s">
        <v>218</v>
      </c>
      <c r="T15" s="15"/>
      <c r="U15" s="10" t="s">
        <v>152</v>
      </c>
      <c r="V15" s="16"/>
      <c r="W15" s="10"/>
      <c r="X15" s="17" t="s">
        <v>219</v>
      </c>
      <c r="Y15" s="10" t="s">
        <v>112</v>
      </c>
      <c r="Z15" s="10" t="s">
        <v>155</v>
      </c>
      <c r="AA15" s="10" t="s">
        <v>112</v>
      </c>
      <c r="AB15" s="10" t="s">
        <v>145</v>
      </c>
      <c r="AC15" s="11" t="n">
        <v>41</v>
      </c>
      <c r="AD15" s="11" t="n">
        <v>23</v>
      </c>
      <c r="AE15" s="11" t="n">
        <v>188</v>
      </c>
      <c r="AF15" s="11" t="n">
        <v>94</v>
      </c>
      <c r="AG15" s="10" t="s">
        <v>112</v>
      </c>
      <c r="AH15" s="10" t="s">
        <v>220</v>
      </c>
      <c r="AI15" s="11" t="n">
        <v>10</v>
      </c>
      <c r="AJ15" s="11" t="n">
        <v>10</v>
      </c>
      <c r="AK15" s="10" t="s">
        <v>221</v>
      </c>
      <c r="AL15" s="10" t="s">
        <v>119</v>
      </c>
      <c r="AM15" s="10" t="s">
        <v>222</v>
      </c>
      <c r="AN15" s="10" t="s">
        <v>223</v>
      </c>
      <c r="AO15" s="10"/>
      <c r="AP15" s="10" t="s">
        <v>224</v>
      </c>
      <c r="AQ15" s="17" t="s">
        <v>225</v>
      </c>
      <c r="AR15" s="10" t="str">
        <f aca="false">IF(AB15="Bat",AA15,IF(AA15=Y15,Z15,Y15))</f>
        <v>Afghanistan</v>
      </c>
      <c r="AS15" s="10" t="str">
        <f aca="false">IF(AR15=Y15,Z15,Y15)</f>
        <v>Hong Kong</v>
      </c>
      <c r="AT15" s="11" t="n">
        <f aca="false">IF(AR15=Y15,AE15,AF15)</f>
        <v>188</v>
      </c>
      <c r="AU15" s="11" t="n">
        <f aca="false">IF(AR15=Y15,AF15,AE15)</f>
        <v>94</v>
      </c>
      <c r="AV15" s="10" t="str">
        <f aca="false">IF(AG15=Y15,Z15,Y15)</f>
        <v>Hong Kong</v>
      </c>
      <c r="AW15" s="10" t="str">
        <f aca="false">IF(AE15=AF15,"Tie (Super Over)","Normal")</f>
        <v>Normal</v>
      </c>
      <c r="AX15" s="10" t="str">
        <f aca="false">IF(AW15&lt;&gt;"Normal","Super Over",IF(AG15=AR15,"Batting First","Chasing"))</f>
        <v>Batting First</v>
      </c>
      <c r="AY15" s="10" t="str">
        <f aca="false">IF(AA15=AG15,"Yes","No")</f>
        <v>Yes</v>
      </c>
      <c r="AZ15" s="10" t="str">
        <f aca="false">IF(ISNUMBER(SEARCH("Wicket",AK15)),"Wickets",IF(ISNUMBER(SEARCH("Run",AK15)),"Runs","Super Over"))</f>
        <v>Runs</v>
      </c>
      <c r="BA15" s="11" t="n">
        <f aca="false">IF(AZ15="Super Over","",VALUE(LEFT(AK15,FIND(" ",AK15)-1)))</f>
        <v>94</v>
      </c>
      <c r="BB15" s="11" t="n">
        <f aca="false">AE15+AF15</f>
        <v>282</v>
      </c>
      <c r="BC15" s="11" t="n">
        <f aca="false">ABS(AE15-AF15)</f>
        <v>94</v>
      </c>
      <c r="BD15" s="11" t="n">
        <f aca="false">AC15+AD15</f>
        <v>64</v>
      </c>
      <c r="BE15" s="11" t="n">
        <f aca="false">AI15+AJ15</f>
        <v>20</v>
      </c>
      <c r="BF15" s="10" t="str">
        <f aca="false">B15&amp;"|"&amp;H15</f>
        <v>Asia Cup 2025|Group Stage</v>
      </c>
    </row>
    <row r="16" customFormat="false" ht="35.05" hidden="false" customHeight="false" outlineLevel="0" collapsed="false">
      <c r="A16" s="10" t="s">
        <v>226</v>
      </c>
      <c r="B16" s="10" t="s">
        <v>214</v>
      </c>
      <c r="C16" s="11" t="n">
        <v>2025</v>
      </c>
      <c r="D16" s="11" t="n">
        <v>2</v>
      </c>
      <c r="E16" s="10" t="s">
        <v>123</v>
      </c>
      <c r="F16" s="12" t="n">
        <v>45910</v>
      </c>
      <c r="G16" s="10" t="s">
        <v>124</v>
      </c>
      <c r="H16" s="10" t="s">
        <v>101</v>
      </c>
      <c r="I16" s="10" t="s">
        <v>150</v>
      </c>
      <c r="J16" s="10" t="s">
        <v>103</v>
      </c>
      <c r="K16" s="10" t="s">
        <v>104</v>
      </c>
      <c r="L16" s="10" t="s">
        <v>217</v>
      </c>
      <c r="M16" s="10" t="s">
        <v>106</v>
      </c>
      <c r="N16" s="13" t="n">
        <v>65</v>
      </c>
      <c r="O16" s="13" t="n">
        <v>80</v>
      </c>
      <c r="P16" s="13" t="n">
        <v>75</v>
      </c>
      <c r="Q16" s="14" t="n">
        <v>20.12</v>
      </c>
      <c r="R16" s="14" t="n">
        <v>3.05</v>
      </c>
      <c r="S16" s="10" t="s">
        <v>227</v>
      </c>
      <c r="T16" s="15"/>
      <c r="U16" s="10" t="s">
        <v>228</v>
      </c>
      <c r="V16" s="16"/>
      <c r="W16" s="10"/>
      <c r="X16" s="17" t="s">
        <v>229</v>
      </c>
      <c r="Y16" s="10" t="s">
        <v>230</v>
      </c>
      <c r="Z16" s="10" t="s">
        <v>130</v>
      </c>
      <c r="AA16" s="10" t="s">
        <v>130</v>
      </c>
      <c r="AB16" s="10" t="s">
        <v>113</v>
      </c>
      <c r="AC16" s="11" t="n">
        <v>41</v>
      </c>
      <c r="AD16" s="11" t="n">
        <v>60</v>
      </c>
      <c r="AE16" s="11" t="n">
        <v>57</v>
      </c>
      <c r="AF16" s="11" t="n">
        <v>60</v>
      </c>
      <c r="AG16" s="10" t="s">
        <v>130</v>
      </c>
      <c r="AH16" s="10" t="s">
        <v>231</v>
      </c>
      <c r="AI16" s="11" t="n">
        <v>2</v>
      </c>
      <c r="AJ16" s="11" t="n">
        <v>3</v>
      </c>
      <c r="AK16" s="10" t="s">
        <v>232</v>
      </c>
      <c r="AL16" s="10" t="s">
        <v>136</v>
      </c>
      <c r="AM16" s="10" t="s">
        <v>233</v>
      </c>
      <c r="AN16" s="10" t="s">
        <v>134</v>
      </c>
      <c r="AO16" s="10"/>
      <c r="AP16" s="10" t="s">
        <v>179</v>
      </c>
      <c r="AQ16" s="17" t="s">
        <v>234</v>
      </c>
      <c r="AR16" s="10" t="str">
        <f aca="false">IF(AB16="Bat",AA16,IF(AA16=Y16,Z16,Y16))</f>
        <v>United Arab Emirates</v>
      </c>
      <c r="AS16" s="10" t="str">
        <f aca="false">IF(AR16=Y16,Z16,Y16)</f>
        <v>India</v>
      </c>
      <c r="AT16" s="11" t="n">
        <f aca="false">IF(AR16=Y16,AE16,AF16)</f>
        <v>57</v>
      </c>
      <c r="AU16" s="11" t="n">
        <f aca="false">IF(AR16=Y16,AF16,AE16)</f>
        <v>60</v>
      </c>
      <c r="AV16" s="10" t="str">
        <f aca="false">IF(AG16=Y16,Z16,Y16)</f>
        <v>United Arab Emirates</v>
      </c>
      <c r="AW16" s="10" t="str">
        <f aca="false">IF(AE16=AF16,"Tie (Super Over)","Normal")</f>
        <v>Normal</v>
      </c>
      <c r="AX16" s="10" t="str">
        <f aca="false">IF(AW16&lt;&gt;"Normal","Super Over",IF(AG16=AR16,"Batting First","Chasing"))</f>
        <v>Chasing</v>
      </c>
      <c r="AY16" s="10" t="str">
        <f aca="false">IF(AA16=AG16,"Yes","No")</f>
        <v>Yes</v>
      </c>
      <c r="AZ16" s="10" t="str">
        <f aca="false">IF(ISNUMBER(SEARCH("Wicket",AK16)),"Wickets",IF(ISNUMBER(SEARCH("Run",AK16)),"Runs","Super Over"))</f>
        <v>Wickets</v>
      </c>
      <c r="BA16" s="11" t="n">
        <f aca="false">IF(AZ16="Super Over","",VALUE(LEFT(AK16,FIND(" ",AK16)-1)))</f>
        <v>9</v>
      </c>
      <c r="BB16" s="11" t="n">
        <f aca="false">AE16+AF16</f>
        <v>117</v>
      </c>
      <c r="BC16" s="11" t="n">
        <f aca="false">ABS(AE16-AF16)</f>
        <v>3</v>
      </c>
      <c r="BD16" s="11" t="n">
        <f aca="false">AC16+AD16</f>
        <v>101</v>
      </c>
      <c r="BE16" s="11" t="n">
        <f aca="false">AI16+AJ16</f>
        <v>5</v>
      </c>
      <c r="BF16" s="10" t="str">
        <f aca="false">B16&amp;"|"&amp;H16</f>
        <v>Asia Cup 2025|Group Stage</v>
      </c>
    </row>
    <row r="17" customFormat="false" ht="23.85" hidden="false" customHeight="false" outlineLevel="0" collapsed="false">
      <c r="A17" s="10" t="s">
        <v>235</v>
      </c>
      <c r="B17" s="10" t="s">
        <v>214</v>
      </c>
      <c r="C17" s="11" t="n">
        <v>2025</v>
      </c>
      <c r="D17" s="11" t="n">
        <v>3</v>
      </c>
      <c r="E17" s="10" t="s">
        <v>138</v>
      </c>
      <c r="F17" s="12" t="n">
        <v>45911</v>
      </c>
      <c r="G17" s="10" t="s">
        <v>100</v>
      </c>
      <c r="H17" s="10" t="s">
        <v>101</v>
      </c>
      <c r="I17" s="10" t="s">
        <v>161</v>
      </c>
      <c r="J17" s="10" t="s">
        <v>215</v>
      </c>
      <c r="K17" s="10" t="s">
        <v>216</v>
      </c>
      <c r="L17" s="10" t="s">
        <v>217</v>
      </c>
      <c r="M17" s="10" t="s">
        <v>106</v>
      </c>
      <c r="N17" s="13"/>
      <c r="O17" s="13"/>
      <c r="P17" s="13"/>
      <c r="Q17" s="14" t="n">
        <v>20.12</v>
      </c>
      <c r="R17" s="14" t="n">
        <v>3.05</v>
      </c>
      <c r="S17" s="10" t="s">
        <v>236</v>
      </c>
      <c r="T17" s="15"/>
      <c r="U17" s="10" t="s">
        <v>237</v>
      </c>
      <c r="V17" s="16"/>
      <c r="W17" s="10"/>
      <c r="X17" s="17" t="s">
        <v>238</v>
      </c>
      <c r="Y17" s="10" t="s">
        <v>155</v>
      </c>
      <c r="Z17" s="10" t="s">
        <v>144</v>
      </c>
      <c r="AA17" s="10" t="s">
        <v>144</v>
      </c>
      <c r="AB17" s="10" t="s">
        <v>113</v>
      </c>
      <c r="AC17" s="11" t="n">
        <v>34</v>
      </c>
      <c r="AD17" s="11" t="n">
        <v>51</v>
      </c>
      <c r="AE17" s="11" t="n">
        <v>143</v>
      </c>
      <c r="AF17" s="11" t="n">
        <v>144</v>
      </c>
      <c r="AG17" s="10" t="s">
        <v>144</v>
      </c>
      <c r="AH17" s="10" t="s">
        <v>239</v>
      </c>
      <c r="AI17" s="11" t="n">
        <v>14</v>
      </c>
      <c r="AJ17" s="11" t="n">
        <v>17</v>
      </c>
      <c r="AK17" s="10" t="s">
        <v>147</v>
      </c>
      <c r="AL17" s="10" t="s">
        <v>135</v>
      </c>
      <c r="AM17" s="10" t="s">
        <v>240</v>
      </c>
      <c r="AN17" s="10" t="s">
        <v>119</v>
      </c>
      <c r="AO17" s="10"/>
      <c r="AP17" s="10" t="s">
        <v>224</v>
      </c>
      <c r="AQ17" s="17" t="s">
        <v>241</v>
      </c>
      <c r="AR17" s="10" t="str">
        <f aca="false">IF(AB17="Bat",AA17,IF(AA17=Y17,Z17,Y17))</f>
        <v>Hong Kong</v>
      </c>
      <c r="AS17" s="10" t="str">
        <f aca="false">IF(AR17=Y17,Z17,Y17)</f>
        <v>Bangladesh</v>
      </c>
      <c r="AT17" s="11" t="n">
        <f aca="false">IF(AR17=Y17,AE17,AF17)</f>
        <v>143</v>
      </c>
      <c r="AU17" s="11" t="n">
        <f aca="false">IF(AR17=Y17,AF17,AE17)</f>
        <v>144</v>
      </c>
      <c r="AV17" s="10" t="str">
        <f aca="false">IF(AG17=Y17,Z17,Y17)</f>
        <v>Hong Kong</v>
      </c>
      <c r="AW17" s="10" t="str">
        <f aca="false">IF(AE17=AF17,"Tie (Super Over)","Normal")</f>
        <v>Normal</v>
      </c>
      <c r="AX17" s="10" t="str">
        <f aca="false">IF(AW17&lt;&gt;"Normal","Super Over",IF(AG17=AR17,"Batting First","Chasing"))</f>
        <v>Chasing</v>
      </c>
      <c r="AY17" s="10" t="str">
        <f aca="false">IF(AA17=AG17,"Yes","No")</f>
        <v>Yes</v>
      </c>
      <c r="AZ17" s="10" t="str">
        <f aca="false">IF(ISNUMBER(SEARCH("Wicket",AK17)),"Wickets",IF(ISNUMBER(SEARCH("Run",AK17)),"Runs","Super Over"))</f>
        <v>Wickets</v>
      </c>
      <c r="BA17" s="11" t="n">
        <f aca="false">IF(AZ17="Super Over","",VALUE(LEFT(AK17,FIND(" ",AK17)-1)))</f>
        <v>7</v>
      </c>
      <c r="BB17" s="11" t="n">
        <f aca="false">AE17+AF17</f>
        <v>287</v>
      </c>
      <c r="BC17" s="11" t="n">
        <f aca="false">ABS(AE17-AF17)</f>
        <v>1</v>
      </c>
      <c r="BD17" s="11" t="n">
        <f aca="false">AC17+AD17</f>
        <v>85</v>
      </c>
      <c r="BE17" s="11" t="n">
        <f aca="false">AI17+AJ17</f>
        <v>31</v>
      </c>
      <c r="BF17" s="10" t="str">
        <f aca="false">B17&amp;"|"&amp;H17</f>
        <v>Asia Cup 2025|Group Stage</v>
      </c>
    </row>
    <row r="18" customFormat="false" ht="35.05" hidden="false" customHeight="false" outlineLevel="0" collapsed="false">
      <c r="A18" s="10" t="s">
        <v>242</v>
      </c>
      <c r="B18" s="10" t="s">
        <v>214</v>
      </c>
      <c r="C18" s="11" t="n">
        <v>2025</v>
      </c>
      <c r="D18" s="11" t="n">
        <v>4</v>
      </c>
      <c r="E18" s="10" t="s">
        <v>149</v>
      </c>
      <c r="F18" s="12" t="n">
        <v>45912</v>
      </c>
      <c r="G18" s="10" t="s">
        <v>124</v>
      </c>
      <c r="H18" s="10" t="s">
        <v>101</v>
      </c>
      <c r="I18" s="10" t="s">
        <v>168</v>
      </c>
      <c r="J18" s="10" t="s">
        <v>103</v>
      </c>
      <c r="K18" s="10" t="s">
        <v>104</v>
      </c>
      <c r="L18" s="10" t="s">
        <v>217</v>
      </c>
      <c r="M18" s="10" t="s">
        <v>106</v>
      </c>
      <c r="N18" s="13" t="n">
        <v>65</v>
      </c>
      <c r="O18" s="13" t="n">
        <v>80</v>
      </c>
      <c r="P18" s="13" t="n">
        <v>75</v>
      </c>
      <c r="Q18" s="14" t="n">
        <v>20.12</v>
      </c>
      <c r="R18" s="14" t="n">
        <v>3.05</v>
      </c>
      <c r="S18" s="10"/>
      <c r="T18" s="15"/>
      <c r="U18" s="10" t="s">
        <v>237</v>
      </c>
      <c r="V18" s="16"/>
      <c r="W18" s="10"/>
      <c r="X18" s="17" t="s">
        <v>243</v>
      </c>
      <c r="Y18" s="10" t="s">
        <v>129</v>
      </c>
      <c r="Z18" s="10" t="s">
        <v>244</v>
      </c>
      <c r="AA18" s="10" t="s">
        <v>129</v>
      </c>
      <c r="AB18" s="10" t="s">
        <v>145</v>
      </c>
      <c r="AC18" s="11" t="n">
        <v>47</v>
      </c>
      <c r="AD18" s="11" t="n">
        <v>40</v>
      </c>
      <c r="AE18" s="11" t="n">
        <v>160</v>
      </c>
      <c r="AF18" s="11" t="n">
        <v>67</v>
      </c>
      <c r="AG18" s="10" t="s">
        <v>129</v>
      </c>
      <c r="AH18" s="10" t="s">
        <v>245</v>
      </c>
      <c r="AI18" s="11" t="n">
        <v>4</v>
      </c>
      <c r="AJ18" s="11" t="n">
        <v>3</v>
      </c>
      <c r="AK18" s="10" t="s">
        <v>246</v>
      </c>
      <c r="AL18" s="10" t="s">
        <v>133</v>
      </c>
      <c r="AM18" s="10" t="s">
        <v>158</v>
      </c>
      <c r="AN18" s="10" t="s">
        <v>136</v>
      </c>
      <c r="AO18" s="10"/>
      <c r="AP18" s="10" t="s">
        <v>179</v>
      </c>
      <c r="AQ18" s="17" t="s">
        <v>247</v>
      </c>
      <c r="AR18" s="10" t="str">
        <f aca="false">IF(AB18="Bat",AA18,IF(AA18=Y18,Z18,Y18))</f>
        <v>Pakistan</v>
      </c>
      <c r="AS18" s="10" t="str">
        <f aca="false">IF(AR18=Y18,Z18,Y18)</f>
        <v>Oman</v>
      </c>
      <c r="AT18" s="11" t="n">
        <f aca="false">IF(AR18=Y18,AE18,AF18)</f>
        <v>160</v>
      </c>
      <c r="AU18" s="11" t="n">
        <f aca="false">IF(AR18=Y18,AF18,AE18)</f>
        <v>67</v>
      </c>
      <c r="AV18" s="10" t="str">
        <f aca="false">IF(AG18=Y18,Z18,Y18)</f>
        <v>Oman</v>
      </c>
      <c r="AW18" s="10" t="str">
        <f aca="false">IF(AE18=AF18,"Tie (Super Over)","Normal")</f>
        <v>Normal</v>
      </c>
      <c r="AX18" s="10" t="str">
        <f aca="false">IF(AW18&lt;&gt;"Normal","Super Over",IF(AG18=AR18,"Batting First","Chasing"))</f>
        <v>Batting First</v>
      </c>
      <c r="AY18" s="10" t="str">
        <f aca="false">IF(AA18=AG18,"Yes","No")</f>
        <v>Yes</v>
      </c>
      <c r="AZ18" s="10" t="str">
        <f aca="false">IF(ISNUMBER(SEARCH("Wicket",AK18)),"Wickets",IF(ISNUMBER(SEARCH("Run",AK18)),"Runs","Super Over"))</f>
        <v>Runs</v>
      </c>
      <c r="BA18" s="11" t="n">
        <f aca="false">IF(AZ18="Super Over","",VALUE(LEFT(AK18,FIND(" ",AK18)-1)))</f>
        <v>93</v>
      </c>
      <c r="BB18" s="11" t="n">
        <f aca="false">AE18+AF18</f>
        <v>227</v>
      </c>
      <c r="BC18" s="11" t="n">
        <f aca="false">ABS(AE18-AF18)</f>
        <v>93</v>
      </c>
      <c r="BD18" s="11" t="n">
        <f aca="false">AC18+AD18</f>
        <v>87</v>
      </c>
      <c r="BE18" s="11" t="n">
        <f aca="false">AI18+AJ18</f>
        <v>7</v>
      </c>
      <c r="BF18" s="10" t="str">
        <f aca="false">B18&amp;"|"&amp;H18</f>
        <v>Asia Cup 2025|Group Stage</v>
      </c>
    </row>
    <row r="19" customFormat="false" ht="23.85" hidden="false" customHeight="false" outlineLevel="0" collapsed="false">
      <c r="A19" s="10" t="s">
        <v>248</v>
      </c>
      <c r="B19" s="10" t="s">
        <v>214</v>
      </c>
      <c r="C19" s="11" t="n">
        <v>2025</v>
      </c>
      <c r="D19" s="11" t="n">
        <v>5</v>
      </c>
      <c r="E19" s="10" t="s">
        <v>160</v>
      </c>
      <c r="F19" s="12" t="n">
        <v>45913</v>
      </c>
      <c r="G19" s="10" t="s">
        <v>100</v>
      </c>
      <c r="H19" s="10" t="s">
        <v>101</v>
      </c>
      <c r="I19" s="10" t="s">
        <v>102</v>
      </c>
      <c r="J19" s="10" t="s">
        <v>215</v>
      </c>
      <c r="K19" s="10" t="s">
        <v>216</v>
      </c>
      <c r="L19" s="10" t="s">
        <v>217</v>
      </c>
      <c r="M19" s="10" t="s">
        <v>106</v>
      </c>
      <c r="N19" s="13"/>
      <c r="O19" s="13"/>
      <c r="P19" s="13"/>
      <c r="Q19" s="14" t="n">
        <v>20.12</v>
      </c>
      <c r="R19" s="14" t="n">
        <v>3.05</v>
      </c>
      <c r="S19" s="10"/>
      <c r="T19" s="15"/>
      <c r="U19" s="10"/>
      <c r="V19" s="16"/>
      <c r="W19" s="10"/>
      <c r="X19" s="17" t="s">
        <v>249</v>
      </c>
      <c r="Y19" s="10" t="s">
        <v>144</v>
      </c>
      <c r="Z19" s="10" t="s">
        <v>111</v>
      </c>
      <c r="AA19" s="10" t="s">
        <v>111</v>
      </c>
      <c r="AB19" s="10" t="s">
        <v>113</v>
      </c>
      <c r="AC19" s="11" t="n">
        <v>30</v>
      </c>
      <c r="AD19" s="11" t="n">
        <v>55</v>
      </c>
      <c r="AE19" s="11" t="n">
        <v>139</v>
      </c>
      <c r="AF19" s="11" t="n">
        <v>140</v>
      </c>
      <c r="AG19" s="10" t="s">
        <v>111</v>
      </c>
      <c r="AH19" s="10" t="s">
        <v>250</v>
      </c>
      <c r="AI19" s="11" t="n">
        <v>11</v>
      </c>
      <c r="AJ19" s="11" t="n">
        <v>21</v>
      </c>
      <c r="AK19" s="10" t="s">
        <v>189</v>
      </c>
      <c r="AL19" s="10" t="s">
        <v>223</v>
      </c>
      <c r="AM19" s="10" t="s">
        <v>240</v>
      </c>
      <c r="AN19" s="10" t="s">
        <v>222</v>
      </c>
      <c r="AO19" s="10"/>
      <c r="AP19" s="10" t="s">
        <v>224</v>
      </c>
      <c r="AQ19" s="17" t="s">
        <v>251</v>
      </c>
      <c r="AR19" s="10" t="str">
        <f aca="false">IF(AB19="Bat",AA19,IF(AA19=Y19,Z19,Y19))</f>
        <v>Bangladesh</v>
      </c>
      <c r="AS19" s="10" t="str">
        <f aca="false">IF(AR19=Y19,Z19,Y19)</f>
        <v>Sri Lanka</v>
      </c>
      <c r="AT19" s="11" t="n">
        <f aca="false">IF(AR19=Y19,AE19,AF19)</f>
        <v>139</v>
      </c>
      <c r="AU19" s="11" t="n">
        <f aca="false">IF(AR19=Y19,AF19,AE19)</f>
        <v>140</v>
      </c>
      <c r="AV19" s="10" t="str">
        <f aca="false">IF(AG19=Y19,Z19,Y19)</f>
        <v>Bangladesh</v>
      </c>
      <c r="AW19" s="10" t="str">
        <f aca="false">IF(AE19=AF19,"Tie (Super Over)","Normal")</f>
        <v>Normal</v>
      </c>
      <c r="AX19" s="10" t="str">
        <f aca="false">IF(AW19&lt;&gt;"Normal","Super Over",IF(AG19=AR19,"Batting First","Chasing"))</f>
        <v>Chasing</v>
      </c>
      <c r="AY19" s="10" t="str">
        <f aca="false">IF(AA19=AG19,"Yes","No")</f>
        <v>Yes</v>
      </c>
      <c r="AZ19" s="10" t="str">
        <f aca="false">IF(ISNUMBER(SEARCH("Wicket",AK19)),"Wickets",IF(ISNUMBER(SEARCH("Run",AK19)),"Runs","Super Over"))</f>
        <v>Wickets</v>
      </c>
      <c r="BA19" s="11" t="n">
        <f aca="false">IF(AZ19="Super Over","",VALUE(LEFT(AK19,FIND(" ",AK19)-1)))</f>
        <v>6</v>
      </c>
      <c r="BB19" s="11" t="n">
        <f aca="false">AE19+AF19</f>
        <v>279</v>
      </c>
      <c r="BC19" s="11" t="n">
        <f aca="false">ABS(AE19-AF19)</f>
        <v>1</v>
      </c>
      <c r="BD19" s="11" t="n">
        <f aca="false">AC19+AD19</f>
        <v>85</v>
      </c>
      <c r="BE19" s="11" t="n">
        <f aca="false">AI19+AJ19</f>
        <v>32</v>
      </c>
      <c r="BF19" s="10" t="str">
        <f aca="false">B19&amp;"|"&amp;H19</f>
        <v>Asia Cup 2025|Group Stage</v>
      </c>
    </row>
    <row r="20" customFormat="false" ht="46.25" hidden="false" customHeight="false" outlineLevel="0" collapsed="false">
      <c r="A20" s="10" t="s">
        <v>252</v>
      </c>
      <c r="B20" s="10" t="s">
        <v>214</v>
      </c>
      <c r="C20" s="11" t="n">
        <v>2025</v>
      </c>
      <c r="D20" s="11" t="n">
        <v>6</v>
      </c>
      <c r="E20" s="10" t="s">
        <v>167</v>
      </c>
      <c r="F20" s="12" t="n">
        <v>45914</v>
      </c>
      <c r="G20" s="10" t="s">
        <v>124</v>
      </c>
      <c r="H20" s="10" t="s">
        <v>101</v>
      </c>
      <c r="I20" s="10" t="s">
        <v>125</v>
      </c>
      <c r="J20" s="10" t="s">
        <v>103</v>
      </c>
      <c r="K20" s="10" t="s">
        <v>104</v>
      </c>
      <c r="L20" s="10" t="s">
        <v>217</v>
      </c>
      <c r="M20" s="10" t="s">
        <v>106</v>
      </c>
      <c r="N20" s="13" t="n">
        <v>65</v>
      </c>
      <c r="O20" s="13" t="n">
        <v>80</v>
      </c>
      <c r="P20" s="13" t="n">
        <v>75</v>
      </c>
      <c r="Q20" s="14" t="n">
        <v>20.12</v>
      </c>
      <c r="R20" s="14" t="n">
        <v>3.05</v>
      </c>
      <c r="S20" s="10" t="s">
        <v>253</v>
      </c>
      <c r="T20" s="15" t="n">
        <v>0.38</v>
      </c>
      <c r="U20" s="10" t="s">
        <v>152</v>
      </c>
      <c r="V20" s="16" t="n">
        <v>33</v>
      </c>
      <c r="W20" s="10"/>
      <c r="X20" s="17" t="s">
        <v>254</v>
      </c>
      <c r="Y20" s="10" t="s">
        <v>129</v>
      </c>
      <c r="Z20" s="10" t="s">
        <v>130</v>
      </c>
      <c r="AA20" s="10" t="s">
        <v>129</v>
      </c>
      <c r="AB20" s="10" t="s">
        <v>145</v>
      </c>
      <c r="AC20" s="11" t="n">
        <v>42</v>
      </c>
      <c r="AD20" s="11" t="n">
        <v>61</v>
      </c>
      <c r="AE20" s="11" t="n">
        <v>127</v>
      </c>
      <c r="AF20" s="11" t="n">
        <v>131</v>
      </c>
      <c r="AG20" s="10" t="s">
        <v>130</v>
      </c>
      <c r="AH20" s="10" t="s">
        <v>231</v>
      </c>
      <c r="AI20" s="11" t="n">
        <v>5</v>
      </c>
      <c r="AJ20" s="11" t="n">
        <v>2</v>
      </c>
      <c r="AK20" s="10" t="s">
        <v>147</v>
      </c>
      <c r="AL20" s="10" t="s">
        <v>133</v>
      </c>
      <c r="AM20" s="10" t="s">
        <v>134</v>
      </c>
      <c r="AN20" s="10" t="s">
        <v>158</v>
      </c>
      <c r="AO20" s="10"/>
      <c r="AP20" s="10" t="s">
        <v>179</v>
      </c>
      <c r="AQ20" s="17" t="s">
        <v>255</v>
      </c>
      <c r="AR20" s="10" t="str">
        <f aca="false">IF(AB20="Bat",AA20,IF(AA20=Y20,Z20,Y20))</f>
        <v>Pakistan</v>
      </c>
      <c r="AS20" s="10" t="str">
        <f aca="false">IF(AR20=Y20,Z20,Y20)</f>
        <v>India</v>
      </c>
      <c r="AT20" s="11" t="n">
        <f aca="false">IF(AR20=Y20,AE20,AF20)</f>
        <v>127</v>
      </c>
      <c r="AU20" s="11" t="n">
        <f aca="false">IF(AR20=Y20,AF20,AE20)</f>
        <v>131</v>
      </c>
      <c r="AV20" s="10" t="str">
        <f aca="false">IF(AG20=Y20,Z20,Y20)</f>
        <v>Pakistan</v>
      </c>
      <c r="AW20" s="10" t="str">
        <f aca="false">IF(AE20=AF20,"Tie (Super Over)","Normal")</f>
        <v>Normal</v>
      </c>
      <c r="AX20" s="10" t="str">
        <f aca="false">IF(AW20&lt;&gt;"Normal","Super Over",IF(AG20=AR20,"Batting First","Chasing"))</f>
        <v>Chasing</v>
      </c>
      <c r="AY20" s="10" t="str">
        <f aca="false">IF(AA20=AG20,"Yes","No")</f>
        <v>No</v>
      </c>
      <c r="AZ20" s="10" t="str">
        <f aca="false">IF(ISNUMBER(SEARCH("Wicket",AK20)),"Wickets",IF(ISNUMBER(SEARCH("Run",AK20)),"Runs","Super Over"))</f>
        <v>Wickets</v>
      </c>
      <c r="BA20" s="11" t="n">
        <f aca="false">IF(AZ20="Super Over","",VALUE(LEFT(AK20,FIND(" ",AK20)-1)))</f>
        <v>7</v>
      </c>
      <c r="BB20" s="11" t="n">
        <f aca="false">AE20+AF20</f>
        <v>258</v>
      </c>
      <c r="BC20" s="11" t="n">
        <f aca="false">ABS(AE20-AF20)</f>
        <v>4</v>
      </c>
      <c r="BD20" s="11" t="n">
        <f aca="false">AC20+AD20</f>
        <v>103</v>
      </c>
      <c r="BE20" s="11" t="n">
        <f aca="false">AI20+AJ20</f>
        <v>7</v>
      </c>
      <c r="BF20" s="10" t="str">
        <f aca="false">B20&amp;"|"&amp;H20</f>
        <v>Asia Cup 2025|Group Stage</v>
      </c>
    </row>
    <row r="21" customFormat="false" ht="23.85" hidden="false" customHeight="false" outlineLevel="0" collapsed="false">
      <c r="A21" s="10" t="s">
        <v>256</v>
      </c>
      <c r="B21" s="10" t="s">
        <v>214</v>
      </c>
      <c r="C21" s="11" t="n">
        <v>2025</v>
      </c>
      <c r="D21" s="11" t="n">
        <v>7</v>
      </c>
      <c r="E21" s="10" t="s">
        <v>257</v>
      </c>
      <c r="F21" s="12" t="n">
        <v>45915</v>
      </c>
      <c r="G21" s="10" t="s">
        <v>124</v>
      </c>
      <c r="H21" s="10" t="s">
        <v>101</v>
      </c>
      <c r="I21" s="10" t="s">
        <v>258</v>
      </c>
      <c r="J21" s="10" t="s">
        <v>215</v>
      </c>
      <c r="K21" s="10" t="s">
        <v>216</v>
      </c>
      <c r="L21" s="10" t="s">
        <v>259</v>
      </c>
      <c r="M21" s="10" t="s">
        <v>106</v>
      </c>
      <c r="N21" s="13"/>
      <c r="O21" s="13"/>
      <c r="P21" s="13"/>
      <c r="Q21" s="14" t="n">
        <v>20.12</v>
      </c>
      <c r="R21" s="14" t="n">
        <v>3.05</v>
      </c>
      <c r="S21" s="10"/>
      <c r="T21" s="15"/>
      <c r="U21" s="10" t="s">
        <v>152</v>
      </c>
      <c r="V21" s="16"/>
      <c r="W21" s="10"/>
      <c r="X21" s="17" t="s">
        <v>260</v>
      </c>
      <c r="Y21" s="10" t="s">
        <v>230</v>
      </c>
      <c r="Z21" s="10" t="s">
        <v>244</v>
      </c>
      <c r="AA21" s="10" t="s">
        <v>244</v>
      </c>
      <c r="AB21" s="10" t="s">
        <v>113</v>
      </c>
      <c r="AC21" s="11" t="n">
        <v>50</v>
      </c>
      <c r="AD21" s="11" t="n">
        <v>41</v>
      </c>
      <c r="AE21" s="11" t="n">
        <v>172</v>
      </c>
      <c r="AF21" s="11" t="n">
        <v>130</v>
      </c>
      <c r="AG21" s="10" t="s">
        <v>230</v>
      </c>
      <c r="AH21" s="10" t="s">
        <v>261</v>
      </c>
      <c r="AI21" s="11" t="n">
        <v>9</v>
      </c>
      <c r="AJ21" s="11" t="n">
        <v>16</v>
      </c>
      <c r="AK21" s="10" t="s">
        <v>262</v>
      </c>
      <c r="AL21" s="10" t="s">
        <v>222</v>
      </c>
      <c r="AM21" s="10" t="s">
        <v>119</v>
      </c>
      <c r="AN21" s="10" t="s">
        <v>135</v>
      </c>
      <c r="AO21" s="10"/>
      <c r="AP21" s="10" t="s">
        <v>224</v>
      </c>
      <c r="AQ21" s="17" t="s">
        <v>263</v>
      </c>
      <c r="AR21" s="10" t="str">
        <f aca="false">IF(AB21="Bat",AA21,IF(AA21=Y21,Z21,Y21))</f>
        <v>United Arab Emirates</v>
      </c>
      <c r="AS21" s="10" t="str">
        <f aca="false">IF(AR21=Y21,Z21,Y21)</f>
        <v>Oman</v>
      </c>
      <c r="AT21" s="11" t="n">
        <f aca="false">IF(AR21=Y21,AE21,AF21)</f>
        <v>172</v>
      </c>
      <c r="AU21" s="11" t="n">
        <f aca="false">IF(AR21=Y21,AF21,AE21)</f>
        <v>130</v>
      </c>
      <c r="AV21" s="10" t="str">
        <f aca="false">IF(AG21=Y21,Z21,Y21)</f>
        <v>Oman</v>
      </c>
      <c r="AW21" s="10" t="str">
        <f aca="false">IF(AE21=AF21,"Tie (Super Over)","Normal")</f>
        <v>Normal</v>
      </c>
      <c r="AX21" s="10" t="str">
        <f aca="false">IF(AW21&lt;&gt;"Normal","Super Over",IF(AG21=AR21,"Batting First","Chasing"))</f>
        <v>Batting First</v>
      </c>
      <c r="AY21" s="10" t="str">
        <f aca="false">IF(AA21=AG21,"Yes","No")</f>
        <v>No</v>
      </c>
      <c r="AZ21" s="10" t="str">
        <f aca="false">IF(ISNUMBER(SEARCH("Wicket",AK21)),"Wickets",IF(ISNUMBER(SEARCH("Run",AK21)),"Runs","Super Over"))</f>
        <v>Runs</v>
      </c>
      <c r="BA21" s="11" t="n">
        <f aca="false">IF(AZ21="Super Over","",VALUE(LEFT(AK21,FIND(" ",AK21)-1)))</f>
        <v>42</v>
      </c>
      <c r="BB21" s="11" t="n">
        <f aca="false">AE21+AF21</f>
        <v>302</v>
      </c>
      <c r="BC21" s="11" t="n">
        <f aca="false">ABS(AE21-AF21)</f>
        <v>42</v>
      </c>
      <c r="BD21" s="11" t="n">
        <f aca="false">AC21+AD21</f>
        <v>91</v>
      </c>
      <c r="BE21" s="11" t="n">
        <f aca="false">AI21+AJ21</f>
        <v>25</v>
      </c>
      <c r="BF21" s="10" t="str">
        <f aca="false">B21&amp;"|"&amp;H21</f>
        <v>Asia Cup 2025|Group Stage</v>
      </c>
    </row>
    <row r="22" customFormat="false" ht="35.05" hidden="false" customHeight="false" outlineLevel="0" collapsed="false">
      <c r="A22" s="10" t="s">
        <v>264</v>
      </c>
      <c r="B22" s="10" t="s">
        <v>214</v>
      </c>
      <c r="C22" s="11" t="n">
        <v>2025</v>
      </c>
      <c r="D22" s="11" t="n">
        <v>8</v>
      </c>
      <c r="E22" s="10" t="s">
        <v>265</v>
      </c>
      <c r="F22" s="12" t="n">
        <v>45915</v>
      </c>
      <c r="G22" s="10" t="s">
        <v>100</v>
      </c>
      <c r="H22" s="10" t="s">
        <v>101</v>
      </c>
      <c r="I22" s="10" t="s">
        <v>258</v>
      </c>
      <c r="J22" s="10" t="s">
        <v>103</v>
      </c>
      <c r="K22" s="10" t="s">
        <v>104</v>
      </c>
      <c r="L22" s="10" t="s">
        <v>217</v>
      </c>
      <c r="M22" s="10" t="s">
        <v>106</v>
      </c>
      <c r="N22" s="13" t="n">
        <v>65</v>
      </c>
      <c r="O22" s="13" t="n">
        <v>80</v>
      </c>
      <c r="P22" s="13" t="n">
        <v>75</v>
      </c>
      <c r="Q22" s="14" t="n">
        <v>20.12</v>
      </c>
      <c r="R22" s="14" t="n">
        <v>3.05</v>
      </c>
      <c r="S22" s="10"/>
      <c r="T22" s="15"/>
      <c r="U22" s="10" t="s">
        <v>152</v>
      </c>
      <c r="V22" s="16"/>
      <c r="W22" s="10"/>
      <c r="X22" s="17" t="s">
        <v>266</v>
      </c>
      <c r="Y22" s="10" t="s">
        <v>155</v>
      </c>
      <c r="Z22" s="10" t="s">
        <v>111</v>
      </c>
      <c r="AA22" s="10" t="s">
        <v>111</v>
      </c>
      <c r="AB22" s="10" t="s">
        <v>113</v>
      </c>
      <c r="AC22" s="11" t="n">
        <v>42</v>
      </c>
      <c r="AD22" s="11" t="n">
        <v>35</v>
      </c>
      <c r="AE22" s="11" t="n">
        <v>149</v>
      </c>
      <c r="AF22" s="11" t="n">
        <v>153</v>
      </c>
      <c r="AG22" s="10" t="s">
        <v>111</v>
      </c>
      <c r="AH22" s="10" t="s">
        <v>267</v>
      </c>
      <c r="AI22" s="11" t="n">
        <v>13</v>
      </c>
      <c r="AJ22" s="11" t="n">
        <v>2</v>
      </c>
      <c r="AK22" s="10" t="s">
        <v>178</v>
      </c>
      <c r="AL22" s="10" t="s">
        <v>136</v>
      </c>
      <c r="AM22" s="10" t="s">
        <v>233</v>
      </c>
      <c r="AN22" s="10" t="s">
        <v>133</v>
      </c>
      <c r="AO22" s="10"/>
      <c r="AP22" s="10" t="s">
        <v>179</v>
      </c>
      <c r="AQ22" s="17" t="s">
        <v>268</v>
      </c>
      <c r="AR22" s="10" t="str">
        <f aca="false">IF(AB22="Bat",AA22,IF(AA22=Y22,Z22,Y22))</f>
        <v>Hong Kong</v>
      </c>
      <c r="AS22" s="10" t="str">
        <f aca="false">IF(AR22=Y22,Z22,Y22)</f>
        <v>Sri Lanka</v>
      </c>
      <c r="AT22" s="11" t="n">
        <f aca="false">IF(AR22=Y22,AE22,AF22)</f>
        <v>149</v>
      </c>
      <c r="AU22" s="11" t="n">
        <f aca="false">IF(AR22=Y22,AF22,AE22)</f>
        <v>153</v>
      </c>
      <c r="AV22" s="10" t="str">
        <f aca="false">IF(AG22=Y22,Z22,Y22)</f>
        <v>Hong Kong</v>
      </c>
      <c r="AW22" s="10" t="str">
        <f aca="false">IF(AE22=AF22,"Tie (Super Over)","Normal")</f>
        <v>Normal</v>
      </c>
      <c r="AX22" s="10" t="str">
        <f aca="false">IF(AW22&lt;&gt;"Normal","Super Over",IF(AG22=AR22,"Batting First","Chasing"))</f>
        <v>Chasing</v>
      </c>
      <c r="AY22" s="10" t="str">
        <f aca="false">IF(AA22=AG22,"Yes","No")</f>
        <v>Yes</v>
      </c>
      <c r="AZ22" s="10" t="str">
        <f aca="false">IF(ISNUMBER(SEARCH("Wicket",AK22)),"Wickets",IF(ISNUMBER(SEARCH("Run",AK22)),"Runs","Super Over"))</f>
        <v>Wickets</v>
      </c>
      <c r="BA22" s="11" t="n">
        <f aca="false">IF(AZ22="Super Over","",VALUE(LEFT(AK22,FIND(" ",AK22)-1)))</f>
        <v>4</v>
      </c>
      <c r="BB22" s="11" t="n">
        <f aca="false">AE22+AF22</f>
        <v>302</v>
      </c>
      <c r="BC22" s="11" t="n">
        <f aca="false">ABS(AE22-AF22)</f>
        <v>4</v>
      </c>
      <c r="BD22" s="11" t="n">
        <f aca="false">AC22+AD22</f>
        <v>77</v>
      </c>
      <c r="BE22" s="11" t="n">
        <f aca="false">AI22+AJ22</f>
        <v>15</v>
      </c>
      <c r="BF22" s="10" t="str">
        <f aca="false">B22&amp;"|"&amp;H22</f>
        <v>Asia Cup 2025|Group Stage</v>
      </c>
    </row>
    <row r="23" customFormat="false" ht="35.05" hidden="false" customHeight="false" outlineLevel="0" collapsed="false">
      <c r="A23" s="10" t="s">
        <v>269</v>
      </c>
      <c r="B23" s="10" t="s">
        <v>214</v>
      </c>
      <c r="C23" s="11" t="n">
        <v>2025</v>
      </c>
      <c r="D23" s="11" t="n">
        <v>9</v>
      </c>
      <c r="E23" s="10" t="s">
        <v>270</v>
      </c>
      <c r="F23" s="12" t="n">
        <v>45916</v>
      </c>
      <c r="G23" s="10" t="s">
        <v>100</v>
      </c>
      <c r="H23" s="10" t="s">
        <v>101</v>
      </c>
      <c r="I23" s="10" t="s">
        <v>139</v>
      </c>
      <c r="J23" s="10" t="s">
        <v>215</v>
      </c>
      <c r="K23" s="10" t="s">
        <v>216</v>
      </c>
      <c r="L23" s="10" t="s">
        <v>217</v>
      </c>
      <c r="M23" s="10" t="s">
        <v>106</v>
      </c>
      <c r="N23" s="13"/>
      <c r="O23" s="13"/>
      <c r="P23" s="13"/>
      <c r="Q23" s="14" t="n">
        <v>20.12</v>
      </c>
      <c r="R23" s="14" t="n">
        <v>3.05</v>
      </c>
      <c r="S23" s="10"/>
      <c r="T23" s="15"/>
      <c r="U23" s="10" t="s">
        <v>152</v>
      </c>
      <c r="V23" s="16"/>
      <c r="W23" s="10"/>
      <c r="X23" s="17" t="s">
        <v>271</v>
      </c>
      <c r="Y23" s="10" t="s">
        <v>144</v>
      </c>
      <c r="Z23" s="10" t="s">
        <v>112</v>
      </c>
      <c r="AA23" s="10" t="s">
        <v>144</v>
      </c>
      <c r="AB23" s="10" t="s">
        <v>145</v>
      </c>
      <c r="AC23" s="11" t="n">
        <v>59</v>
      </c>
      <c r="AD23" s="11" t="n">
        <v>27</v>
      </c>
      <c r="AE23" s="11" t="n">
        <v>154</v>
      </c>
      <c r="AF23" s="11" t="n">
        <v>146</v>
      </c>
      <c r="AG23" s="10" t="s">
        <v>144</v>
      </c>
      <c r="AH23" s="10" t="s">
        <v>272</v>
      </c>
      <c r="AI23" s="11" t="n">
        <v>2</v>
      </c>
      <c r="AJ23" s="11" t="n">
        <v>3</v>
      </c>
      <c r="AK23" s="10" t="s">
        <v>273</v>
      </c>
      <c r="AL23" s="10" t="s">
        <v>223</v>
      </c>
      <c r="AM23" s="10" t="s">
        <v>135</v>
      </c>
      <c r="AN23" s="10" t="s">
        <v>240</v>
      </c>
      <c r="AO23" s="10"/>
      <c r="AP23" s="10" t="s">
        <v>224</v>
      </c>
      <c r="AQ23" s="17" t="s">
        <v>274</v>
      </c>
      <c r="AR23" s="10" t="str">
        <f aca="false">IF(AB23="Bat",AA23,IF(AA23=Y23,Z23,Y23))</f>
        <v>Bangladesh</v>
      </c>
      <c r="AS23" s="10" t="str">
        <f aca="false">IF(AR23=Y23,Z23,Y23)</f>
        <v>Afghanistan</v>
      </c>
      <c r="AT23" s="11" t="n">
        <f aca="false">IF(AR23=Y23,AE23,AF23)</f>
        <v>154</v>
      </c>
      <c r="AU23" s="11" t="n">
        <f aca="false">IF(AR23=Y23,AF23,AE23)</f>
        <v>146</v>
      </c>
      <c r="AV23" s="10" t="str">
        <f aca="false">IF(AG23=Y23,Z23,Y23)</f>
        <v>Afghanistan</v>
      </c>
      <c r="AW23" s="10" t="str">
        <f aca="false">IF(AE23=AF23,"Tie (Super Over)","Normal")</f>
        <v>Normal</v>
      </c>
      <c r="AX23" s="10" t="str">
        <f aca="false">IF(AW23&lt;&gt;"Normal","Super Over",IF(AG23=AR23,"Batting First","Chasing"))</f>
        <v>Batting First</v>
      </c>
      <c r="AY23" s="10" t="str">
        <f aca="false">IF(AA23=AG23,"Yes","No")</f>
        <v>Yes</v>
      </c>
      <c r="AZ23" s="10" t="str">
        <f aca="false">IF(ISNUMBER(SEARCH("Wicket",AK23)),"Wickets",IF(ISNUMBER(SEARCH("Run",AK23)),"Runs","Super Over"))</f>
        <v>Runs</v>
      </c>
      <c r="BA23" s="11" t="n">
        <f aca="false">IF(AZ23="Super Over","",VALUE(LEFT(AK23,FIND(" ",AK23)-1)))</f>
        <v>8</v>
      </c>
      <c r="BB23" s="11" t="n">
        <f aca="false">AE23+AF23</f>
        <v>300</v>
      </c>
      <c r="BC23" s="11" t="n">
        <f aca="false">ABS(AE23-AF23)</f>
        <v>8</v>
      </c>
      <c r="BD23" s="11" t="n">
        <f aca="false">AC23+AD23</f>
        <v>86</v>
      </c>
      <c r="BE23" s="11" t="n">
        <f aca="false">AI23+AJ23</f>
        <v>5</v>
      </c>
      <c r="BF23" s="10" t="str">
        <f aca="false">B23&amp;"|"&amp;H23</f>
        <v>Asia Cup 2025|Group Stage</v>
      </c>
    </row>
    <row r="24" customFormat="false" ht="15" hidden="false" customHeight="false" outlineLevel="0" collapsed="false">
      <c r="A24" s="10" t="s">
        <v>275</v>
      </c>
      <c r="B24" s="10" t="s">
        <v>214</v>
      </c>
      <c r="C24" s="11" t="n">
        <v>2025</v>
      </c>
      <c r="D24" s="11" t="n">
        <v>10</v>
      </c>
      <c r="E24" s="10" t="s">
        <v>276</v>
      </c>
      <c r="F24" s="12" t="n">
        <v>45917</v>
      </c>
      <c r="G24" s="10" t="s">
        <v>124</v>
      </c>
      <c r="H24" s="10" t="s">
        <v>101</v>
      </c>
      <c r="I24" s="10" t="s">
        <v>150</v>
      </c>
      <c r="J24" s="10" t="s">
        <v>103</v>
      </c>
      <c r="K24" s="10" t="s">
        <v>104</v>
      </c>
      <c r="L24" s="10" t="s">
        <v>217</v>
      </c>
      <c r="M24" s="10" t="s">
        <v>106</v>
      </c>
      <c r="N24" s="13" t="n">
        <v>65</v>
      </c>
      <c r="O24" s="13" t="n">
        <v>80</v>
      </c>
      <c r="P24" s="13" t="n">
        <v>75</v>
      </c>
      <c r="Q24" s="14" t="n">
        <v>20.12</v>
      </c>
      <c r="R24" s="14" t="n">
        <v>3.05</v>
      </c>
      <c r="S24" s="10"/>
      <c r="T24" s="15"/>
      <c r="U24" s="10" t="s">
        <v>152</v>
      </c>
      <c r="V24" s="16"/>
      <c r="W24" s="10"/>
      <c r="X24" s="17" t="s">
        <v>277</v>
      </c>
      <c r="Y24" s="10" t="s">
        <v>129</v>
      </c>
      <c r="Z24" s="10" t="s">
        <v>230</v>
      </c>
      <c r="AA24" s="10" t="s">
        <v>230</v>
      </c>
      <c r="AB24" s="10" t="s">
        <v>113</v>
      </c>
      <c r="AC24" s="11" t="n">
        <v>39</v>
      </c>
      <c r="AD24" s="11" t="n">
        <v>38</v>
      </c>
      <c r="AE24" s="11" t="n">
        <v>146</v>
      </c>
      <c r="AF24" s="11" t="n">
        <v>105</v>
      </c>
      <c r="AG24" s="10" t="s">
        <v>129</v>
      </c>
      <c r="AH24" s="10" t="s">
        <v>278</v>
      </c>
      <c r="AI24" s="11" t="n">
        <v>13</v>
      </c>
      <c r="AJ24" s="11" t="n">
        <v>11</v>
      </c>
      <c r="AK24" s="10" t="s">
        <v>279</v>
      </c>
      <c r="AL24" s="10" t="s">
        <v>158</v>
      </c>
      <c r="AM24" s="10" t="s">
        <v>134</v>
      </c>
      <c r="AN24" s="10" t="s">
        <v>233</v>
      </c>
      <c r="AO24" s="10"/>
      <c r="AP24" s="10" t="s">
        <v>179</v>
      </c>
      <c r="AQ24" s="17" t="s">
        <v>280</v>
      </c>
      <c r="AR24" s="10" t="str">
        <f aca="false">IF(AB24="Bat",AA24,IF(AA24=Y24,Z24,Y24))</f>
        <v>Pakistan</v>
      </c>
      <c r="AS24" s="10" t="str">
        <f aca="false">IF(AR24=Y24,Z24,Y24)</f>
        <v>United Arab Emirates</v>
      </c>
      <c r="AT24" s="11" t="n">
        <f aca="false">IF(AR24=Y24,AE24,AF24)</f>
        <v>146</v>
      </c>
      <c r="AU24" s="11" t="n">
        <f aca="false">IF(AR24=Y24,AF24,AE24)</f>
        <v>105</v>
      </c>
      <c r="AV24" s="10" t="str">
        <f aca="false">IF(AG24=Y24,Z24,Y24)</f>
        <v>United Arab Emirates</v>
      </c>
      <c r="AW24" s="10" t="str">
        <f aca="false">IF(AE24=AF24,"Tie (Super Over)","Normal")</f>
        <v>Normal</v>
      </c>
      <c r="AX24" s="10" t="str">
        <f aca="false">IF(AW24&lt;&gt;"Normal","Super Over",IF(AG24=AR24,"Batting First","Chasing"))</f>
        <v>Batting First</v>
      </c>
      <c r="AY24" s="10" t="str">
        <f aca="false">IF(AA24=AG24,"Yes","No")</f>
        <v>No</v>
      </c>
      <c r="AZ24" s="10" t="str">
        <f aca="false">IF(ISNUMBER(SEARCH("Wicket",AK24)),"Wickets",IF(ISNUMBER(SEARCH("Run",AK24)),"Runs","Super Over"))</f>
        <v>Runs</v>
      </c>
      <c r="BA24" s="11" t="n">
        <f aca="false">IF(AZ24="Super Over","",VALUE(LEFT(AK24,FIND(" ",AK24)-1)))</f>
        <v>41</v>
      </c>
      <c r="BB24" s="11" t="n">
        <f aca="false">AE24+AF24</f>
        <v>251</v>
      </c>
      <c r="BC24" s="11" t="n">
        <f aca="false">ABS(AE24-AF24)</f>
        <v>41</v>
      </c>
      <c r="BD24" s="11" t="n">
        <f aca="false">AC24+AD24</f>
        <v>77</v>
      </c>
      <c r="BE24" s="11" t="n">
        <f aca="false">AI24+AJ24</f>
        <v>24</v>
      </c>
      <c r="BF24" s="10" t="str">
        <f aca="false">B24&amp;"|"&amp;H24</f>
        <v>Asia Cup 2025|Group Stage</v>
      </c>
    </row>
    <row r="25" customFormat="false" ht="23.85" hidden="false" customHeight="false" outlineLevel="0" collapsed="false">
      <c r="A25" s="10" t="s">
        <v>281</v>
      </c>
      <c r="B25" s="10" t="s">
        <v>214</v>
      </c>
      <c r="C25" s="11" t="n">
        <v>2025</v>
      </c>
      <c r="D25" s="11" t="n">
        <v>11</v>
      </c>
      <c r="E25" s="10" t="s">
        <v>282</v>
      </c>
      <c r="F25" s="12" t="n">
        <v>45918</v>
      </c>
      <c r="G25" s="10" t="s">
        <v>100</v>
      </c>
      <c r="H25" s="10" t="s">
        <v>101</v>
      </c>
      <c r="I25" s="10" t="s">
        <v>161</v>
      </c>
      <c r="J25" s="10" t="s">
        <v>215</v>
      </c>
      <c r="K25" s="10" t="s">
        <v>216</v>
      </c>
      <c r="L25" s="10" t="s">
        <v>217</v>
      </c>
      <c r="M25" s="10" t="s">
        <v>106</v>
      </c>
      <c r="N25" s="13"/>
      <c r="O25" s="13"/>
      <c r="P25" s="13"/>
      <c r="Q25" s="14" t="n">
        <v>20.12</v>
      </c>
      <c r="R25" s="14" t="n">
        <v>3.05</v>
      </c>
      <c r="S25" s="10" t="s">
        <v>283</v>
      </c>
      <c r="T25" s="15" t="n">
        <v>0.39</v>
      </c>
      <c r="U25" s="10" t="s">
        <v>284</v>
      </c>
      <c r="V25" s="16"/>
      <c r="W25" s="10"/>
      <c r="X25" s="17" t="s">
        <v>285</v>
      </c>
      <c r="Y25" s="10" t="s">
        <v>112</v>
      </c>
      <c r="Z25" s="10" t="s">
        <v>111</v>
      </c>
      <c r="AA25" s="10" t="s">
        <v>112</v>
      </c>
      <c r="AB25" s="10" t="s">
        <v>145</v>
      </c>
      <c r="AC25" s="11" t="n">
        <v>45</v>
      </c>
      <c r="AD25" s="11" t="n">
        <v>53</v>
      </c>
      <c r="AE25" s="11" t="n">
        <v>169</v>
      </c>
      <c r="AF25" s="11" t="n">
        <v>171</v>
      </c>
      <c r="AG25" s="10" t="s">
        <v>111</v>
      </c>
      <c r="AH25" s="10" t="s">
        <v>163</v>
      </c>
      <c r="AI25" s="11" t="n">
        <v>7</v>
      </c>
      <c r="AJ25" s="11" t="n">
        <v>16</v>
      </c>
      <c r="AK25" s="10" t="s">
        <v>189</v>
      </c>
      <c r="AL25" s="10" t="s">
        <v>119</v>
      </c>
      <c r="AM25" s="10" t="s">
        <v>222</v>
      </c>
      <c r="AN25" s="10" t="s">
        <v>223</v>
      </c>
      <c r="AO25" s="10"/>
      <c r="AP25" s="10" t="s">
        <v>224</v>
      </c>
      <c r="AQ25" s="17" t="s">
        <v>286</v>
      </c>
      <c r="AR25" s="10" t="str">
        <f aca="false">IF(AB25="Bat",AA25,IF(AA25=Y25,Z25,Y25))</f>
        <v>Afghanistan</v>
      </c>
      <c r="AS25" s="10" t="str">
        <f aca="false">IF(AR25=Y25,Z25,Y25)</f>
        <v>Sri Lanka</v>
      </c>
      <c r="AT25" s="11" t="n">
        <f aca="false">IF(AR25=Y25,AE25,AF25)</f>
        <v>169</v>
      </c>
      <c r="AU25" s="11" t="n">
        <f aca="false">IF(AR25=Y25,AF25,AE25)</f>
        <v>171</v>
      </c>
      <c r="AV25" s="10" t="str">
        <f aca="false">IF(AG25=Y25,Z25,Y25)</f>
        <v>Afghanistan</v>
      </c>
      <c r="AW25" s="10" t="str">
        <f aca="false">IF(AE25=AF25,"Tie (Super Over)","Normal")</f>
        <v>Normal</v>
      </c>
      <c r="AX25" s="10" t="str">
        <f aca="false">IF(AW25&lt;&gt;"Normal","Super Over",IF(AG25=AR25,"Batting First","Chasing"))</f>
        <v>Chasing</v>
      </c>
      <c r="AY25" s="10" t="str">
        <f aca="false">IF(AA25=AG25,"Yes","No")</f>
        <v>No</v>
      </c>
      <c r="AZ25" s="10" t="str">
        <f aca="false">IF(ISNUMBER(SEARCH("Wicket",AK25)),"Wickets",IF(ISNUMBER(SEARCH("Run",AK25)),"Runs","Super Over"))</f>
        <v>Wickets</v>
      </c>
      <c r="BA25" s="11" t="n">
        <f aca="false">IF(AZ25="Super Over","",VALUE(LEFT(AK25,FIND(" ",AK25)-1)))</f>
        <v>6</v>
      </c>
      <c r="BB25" s="11" t="n">
        <f aca="false">AE25+AF25</f>
        <v>340</v>
      </c>
      <c r="BC25" s="11" t="n">
        <f aca="false">ABS(AE25-AF25)</f>
        <v>2</v>
      </c>
      <c r="BD25" s="11" t="n">
        <f aca="false">AC25+AD25</f>
        <v>98</v>
      </c>
      <c r="BE25" s="11" t="n">
        <f aca="false">AI25+AJ25</f>
        <v>23</v>
      </c>
      <c r="BF25" s="10" t="str">
        <f aca="false">B25&amp;"|"&amp;H25</f>
        <v>Asia Cup 2025|Group Stage</v>
      </c>
    </row>
    <row r="26" customFormat="false" ht="23.85" hidden="false" customHeight="false" outlineLevel="0" collapsed="false">
      <c r="A26" s="10" t="s">
        <v>287</v>
      </c>
      <c r="B26" s="10" t="s">
        <v>214</v>
      </c>
      <c r="C26" s="11" t="n">
        <v>2025</v>
      </c>
      <c r="D26" s="11" t="n">
        <v>12</v>
      </c>
      <c r="E26" s="10" t="s">
        <v>288</v>
      </c>
      <c r="F26" s="12" t="n">
        <v>45919</v>
      </c>
      <c r="G26" s="10" t="s">
        <v>124</v>
      </c>
      <c r="H26" s="10" t="s">
        <v>101</v>
      </c>
      <c r="I26" s="10" t="s">
        <v>168</v>
      </c>
      <c r="J26" s="10" t="s">
        <v>215</v>
      </c>
      <c r="K26" s="10" t="s">
        <v>216</v>
      </c>
      <c r="L26" s="10" t="s">
        <v>217</v>
      </c>
      <c r="M26" s="10" t="s">
        <v>106</v>
      </c>
      <c r="N26" s="13"/>
      <c r="O26" s="13"/>
      <c r="P26" s="13"/>
      <c r="Q26" s="14" t="n">
        <v>20.12</v>
      </c>
      <c r="R26" s="14" t="n">
        <v>3.05</v>
      </c>
      <c r="S26" s="10"/>
      <c r="T26" s="15"/>
      <c r="U26" s="10" t="s">
        <v>152</v>
      </c>
      <c r="V26" s="16"/>
      <c r="W26" s="10"/>
      <c r="X26" s="17" t="s">
        <v>289</v>
      </c>
      <c r="Y26" s="10" t="s">
        <v>130</v>
      </c>
      <c r="Z26" s="10" t="s">
        <v>244</v>
      </c>
      <c r="AA26" s="10" t="s">
        <v>130</v>
      </c>
      <c r="AB26" s="10" t="s">
        <v>145</v>
      </c>
      <c r="AC26" s="11" t="n">
        <v>60</v>
      </c>
      <c r="AD26" s="11" t="n">
        <v>44</v>
      </c>
      <c r="AE26" s="11" t="n">
        <v>188</v>
      </c>
      <c r="AF26" s="11" t="n">
        <v>167</v>
      </c>
      <c r="AG26" s="10" t="s">
        <v>130</v>
      </c>
      <c r="AH26" s="10" t="s">
        <v>290</v>
      </c>
      <c r="AI26" s="11" t="n">
        <v>13</v>
      </c>
      <c r="AJ26" s="11" t="n">
        <v>7</v>
      </c>
      <c r="AK26" s="10" t="s">
        <v>291</v>
      </c>
      <c r="AL26" s="10" t="s">
        <v>135</v>
      </c>
      <c r="AM26" s="10" t="s">
        <v>223</v>
      </c>
      <c r="AN26" s="10" t="s">
        <v>119</v>
      </c>
      <c r="AO26" s="10"/>
      <c r="AP26" s="10" t="s">
        <v>224</v>
      </c>
      <c r="AQ26" s="17" t="s">
        <v>292</v>
      </c>
      <c r="AR26" s="10" t="str">
        <f aca="false">IF(AB26="Bat",AA26,IF(AA26=Y26,Z26,Y26))</f>
        <v>India</v>
      </c>
      <c r="AS26" s="10" t="str">
        <f aca="false">IF(AR26=Y26,Z26,Y26)</f>
        <v>Oman</v>
      </c>
      <c r="AT26" s="11" t="n">
        <f aca="false">IF(AR26=Y26,AE26,AF26)</f>
        <v>188</v>
      </c>
      <c r="AU26" s="11" t="n">
        <f aca="false">IF(AR26=Y26,AF26,AE26)</f>
        <v>167</v>
      </c>
      <c r="AV26" s="10" t="str">
        <f aca="false">IF(AG26=Y26,Z26,Y26)</f>
        <v>Oman</v>
      </c>
      <c r="AW26" s="10" t="str">
        <f aca="false">IF(AE26=AF26,"Tie (Super Over)","Normal")</f>
        <v>Normal</v>
      </c>
      <c r="AX26" s="10" t="str">
        <f aca="false">IF(AW26&lt;&gt;"Normal","Super Over",IF(AG26=AR26,"Batting First","Chasing"))</f>
        <v>Batting First</v>
      </c>
      <c r="AY26" s="10" t="str">
        <f aca="false">IF(AA26=AG26,"Yes","No")</f>
        <v>Yes</v>
      </c>
      <c r="AZ26" s="10" t="str">
        <f aca="false">IF(ISNUMBER(SEARCH("Wicket",AK26)),"Wickets",IF(ISNUMBER(SEARCH("Run",AK26)),"Runs","Super Over"))</f>
        <v>Runs</v>
      </c>
      <c r="BA26" s="11" t="n">
        <f aca="false">IF(AZ26="Super Over","",VALUE(LEFT(AK26,FIND(" ",AK26)-1)))</f>
        <v>21</v>
      </c>
      <c r="BB26" s="11" t="n">
        <f aca="false">AE26+AF26</f>
        <v>355</v>
      </c>
      <c r="BC26" s="11" t="n">
        <f aca="false">ABS(AE26-AF26)</f>
        <v>21</v>
      </c>
      <c r="BD26" s="11" t="n">
        <f aca="false">AC26+AD26</f>
        <v>104</v>
      </c>
      <c r="BE26" s="11" t="n">
        <f aca="false">AI26+AJ26</f>
        <v>20</v>
      </c>
      <c r="BF26" s="10" t="str">
        <f aca="false">B26&amp;"|"&amp;H26</f>
        <v>Asia Cup 2025|Group Stage</v>
      </c>
    </row>
    <row r="27" customFormat="false" ht="23.85" hidden="false" customHeight="false" outlineLevel="0" collapsed="false">
      <c r="A27" s="10" t="s">
        <v>293</v>
      </c>
      <c r="B27" s="10" t="s">
        <v>214</v>
      </c>
      <c r="C27" s="11" t="n">
        <v>2025</v>
      </c>
      <c r="D27" s="11" t="n">
        <v>13</v>
      </c>
      <c r="E27" s="10" t="s">
        <v>294</v>
      </c>
      <c r="F27" s="12" t="n">
        <v>45920</v>
      </c>
      <c r="G27" s="10" t="s">
        <v>174</v>
      </c>
      <c r="H27" s="10" t="s">
        <v>174</v>
      </c>
      <c r="I27" s="10" t="s">
        <v>102</v>
      </c>
      <c r="J27" s="10" t="s">
        <v>103</v>
      </c>
      <c r="K27" s="10" t="s">
        <v>104</v>
      </c>
      <c r="L27" s="10" t="s">
        <v>217</v>
      </c>
      <c r="M27" s="10" t="s">
        <v>106</v>
      </c>
      <c r="N27" s="13" t="n">
        <v>65</v>
      </c>
      <c r="O27" s="13" t="n">
        <v>80</v>
      </c>
      <c r="P27" s="13" t="n">
        <v>75</v>
      </c>
      <c r="Q27" s="14" t="n">
        <v>20.12</v>
      </c>
      <c r="R27" s="14" t="n">
        <v>3.05</v>
      </c>
      <c r="S27" s="10"/>
      <c r="T27" s="15"/>
      <c r="U27" s="10" t="s">
        <v>152</v>
      </c>
      <c r="V27" s="16"/>
      <c r="W27" s="10"/>
      <c r="X27" s="17" t="s">
        <v>295</v>
      </c>
      <c r="Y27" s="10" t="s">
        <v>111</v>
      </c>
      <c r="Z27" s="10" t="s">
        <v>144</v>
      </c>
      <c r="AA27" s="10" t="s">
        <v>144</v>
      </c>
      <c r="AB27" s="10" t="s">
        <v>113</v>
      </c>
      <c r="AC27" s="11" t="n">
        <v>53</v>
      </c>
      <c r="AD27" s="11" t="n">
        <v>59</v>
      </c>
      <c r="AE27" s="11" t="n">
        <v>168</v>
      </c>
      <c r="AF27" s="11" t="n">
        <v>169</v>
      </c>
      <c r="AG27" s="10" t="s">
        <v>144</v>
      </c>
      <c r="AH27" s="10" t="s">
        <v>296</v>
      </c>
      <c r="AI27" s="11" t="n">
        <v>3</v>
      </c>
      <c r="AJ27" s="11" t="n">
        <v>3</v>
      </c>
      <c r="AK27" s="10" t="s">
        <v>178</v>
      </c>
      <c r="AL27" s="10" t="s">
        <v>119</v>
      </c>
      <c r="AM27" s="10" t="s">
        <v>240</v>
      </c>
      <c r="AN27" s="10" t="s">
        <v>222</v>
      </c>
      <c r="AO27" s="10"/>
      <c r="AP27" s="10" t="s">
        <v>179</v>
      </c>
      <c r="AQ27" s="17" t="s">
        <v>297</v>
      </c>
      <c r="AR27" s="10" t="str">
        <f aca="false">IF(AB27="Bat",AA27,IF(AA27=Y27,Z27,Y27))</f>
        <v>Sri Lanka</v>
      </c>
      <c r="AS27" s="10" t="str">
        <f aca="false">IF(AR27=Y27,Z27,Y27)</f>
        <v>Bangladesh</v>
      </c>
      <c r="AT27" s="11" t="n">
        <f aca="false">IF(AR27=Y27,AE27,AF27)</f>
        <v>168</v>
      </c>
      <c r="AU27" s="11" t="n">
        <f aca="false">IF(AR27=Y27,AF27,AE27)</f>
        <v>169</v>
      </c>
      <c r="AV27" s="10" t="str">
        <f aca="false">IF(AG27=Y27,Z27,Y27)</f>
        <v>Sri Lanka</v>
      </c>
      <c r="AW27" s="10" t="str">
        <f aca="false">IF(AE27=AF27,"Tie (Super Over)","Normal")</f>
        <v>Normal</v>
      </c>
      <c r="AX27" s="10" t="str">
        <f aca="false">IF(AW27&lt;&gt;"Normal","Super Over",IF(AG27=AR27,"Batting First","Chasing"))</f>
        <v>Chasing</v>
      </c>
      <c r="AY27" s="10" t="str">
        <f aca="false">IF(AA27=AG27,"Yes","No")</f>
        <v>Yes</v>
      </c>
      <c r="AZ27" s="10" t="str">
        <f aca="false">IF(ISNUMBER(SEARCH("Wicket",AK27)),"Wickets",IF(ISNUMBER(SEARCH("Run",AK27)),"Runs","Super Over"))</f>
        <v>Wickets</v>
      </c>
      <c r="BA27" s="11" t="n">
        <f aca="false">IF(AZ27="Super Over","",VALUE(LEFT(AK27,FIND(" ",AK27)-1)))</f>
        <v>4</v>
      </c>
      <c r="BB27" s="11" t="n">
        <f aca="false">AE27+AF27</f>
        <v>337</v>
      </c>
      <c r="BC27" s="11" t="n">
        <f aca="false">ABS(AE27-AF27)</f>
        <v>1</v>
      </c>
      <c r="BD27" s="11" t="n">
        <f aca="false">AC27+AD27</f>
        <v>112</v>
      </c>
      <c r="BE27" s="11" t="n">
        <f aca="false">AI27+AJ27</f>
        <v>6</v>
      </c>
      <c r="BF27" s="10" t="str">
        <f aca="false">B27&amp;"|"&amp;H27</f>
        <v>Asia Cup 2025|Super Four</v>
      </c>
    </row>
    <row r="28" customFormat="false" ht="35.05" hidden="false" customHeight="false" outlineLevel="0" collapsed="false">
      <c r="A28" s="10" t="s">
        <v>298</v>
      </c>
      <c r="B28" s="10" t="s">
        <v>214</v>
      </c>
      <c r="C28" s="11" t="n">
        <v>2025</v>
      </c>
      <c r="D28" s="11" t="n">
        <v>14</v>
      </c>
      <c r="E28" s="10" t="s">
        <v>299</v>
      </c>
      <c r="F28" s="12" t="n">
        <v>45921</v>
      </c>
      <c r="G28" s="10" t="s">
        <v>174</v>
      </c>
      <c r="H28" s="10" t="s">
        <v>174</v>
      </c>
      <c r="I28" s="10" t="s">
        <v>125</v>
      </c>
      <c r="J28" s="10" t="s">
        <v>103</v>
      </c>
      <c r="K28" s="10" t="s">
        <v>104</v>
      </c>
      <c r="L28" s="10" t="s">
        <v>217</v>
      </c>
      <c r="M28" s="10" t="s">
        <v>106</v>
      </c>
      <c r="N28" s="13" t="n">
        <v>65</v>
      </c>
      <c r="O28" s="13" t="n">
        <v>80</v>
      </c>
      <c r="P28" s="13" t="n">
        <v>75</v>
      </c>
      <c r="Q28" s="14" t="n">
        <v>20.12</v>
      </c>
      <c r="R28" s="14" t="n">
        <v>3.05</v>
      </c>
      <c r="S28" s="10"/>
      <c r="T28" s="15"/>
      <c r="U28" s="10" t="s">
        <v>152</v>
      </c>
      <c r="V28" s="16"/>
      <c r="W28" s="10"/>
      <c r="X28" s="17" t="s">
        <v>300</v>
      </c>
      <c r="Y28" s="10" t="s">
        <v>129</v>
      </c>
      <c r="Z28" s="10" t="s">
        <v>130</v>
      </c>
      <c r="AA28" s="10" t="s">
        <v>130</v>
      </c>
      <c r="AB28" s="10" t="s">
        <v>113</v>
      </c>
      <c r="AC28" s="11" t="n">
        <v>55</v>
      </c>
      <c r="AD28" s="11" t="n">
        <v>69</v>
      </c>
      <c r="AE28" s="11" t="n">
        <v>171</v>
      </c>
      <c r="AF28" s="11" t="n">
        <v>174</v>
      </c>
      <c r="AG28" s="10" t="s">
        <v>130</v>
      </c>
      <c r="AH28" s="10" t="s">
        <v>301</v>
      </c>
      <c r="AI28" s="11" t="n">
        <v>9</v>
      </c>
      <c r="AJ28" s="11" t="n">
        <v>3</v>
      </c>
      <c r="AK28" s="10" t="s">
        <v>189</v>
      </c>
      <c r="AL28" s="10" t="s">
        <v>136</v>
      </c>
      <c r="AM28" s="10" t="s">
        <v>158</v>
      </c>
      <c r="AN28" s="10" t="s">
        <v>134</v>
      </c>
      <c r="AO28" s="10"/>
      <c r="AP28" s="10" t="s">
        <v>179</v>
      </c>
      <c r="AQ28" s="17" t="s">
        <v>302</v>
      </c>
      <c r="AR28" s="10" t="str">
        <f aca="false">IF(AB28="Bat",AA28,IF(AA28=Y28,Z28,Y28))</f>
        <v>Pakistan</v>
      </c>
      <c r="AS28" s="10" t="str">
        <f aca="false">IF(AR28=Y28,Z28,Y28)</f>
        <v>India</v>
      </c>
      <c r="AT28" s="11" t="n">
        <f aca="false">IF(AR28=Y28,AE28,AF28)</f>
        <v>171</v>
      </c>
      <c r="AU28" s="11" t="n">
        <f aca="false">IF(AR28=Y28,AF28,AE28)</f>
        <v>174</v>
      </c>
      <c r="AV28" s="10" t="str">
        <f aca="false">IF(AG28=Y28,Z28,Y28)</f>
        <v>Pakistan</v>
      </c>
      <c r="AW28" s="10" t="str">
        <f aca="false">IF(AE28=AF28,"Tie (Super Over)","Normal")</f>
        <v>Normal</v>
      </c>
      <c r="AX28" s="10" t="str">
        <f aca="false">IF(AW28&lt;&gt;"Normal","Super Over",IF(AG28=AR28,"Batting First","Chasing"))</f>
        <v>Chasing</v>
      </c>
      <c r="AY28" s="10" t="str">
        <f aca="false">IF(AA28=AG28,"Yes","No")</f>
        <v>Yes</v>
      </c>
      <c r="AZ28" s="10" t="str">
        <f aca="false">IF(ISNUMBER(SEARCH("Wicket",AK28)),"Wickets",IF(ISNUMBER(SEARCH("Run",AK28)),"Runs","Super Over"))</f>
        <v>Wickets</v>
      </c>
      <c r="BA28" s="11" t="n">
        <f aca="false">IF(AZ28="Super Over","",VALUE(LEFT(AK28,FIND(" ",AK28)-1)))</f>
        <v>6</v>
      </c>
      <c r="BB28" s="11" t="n">
        <f aca="false">AE28+AF28</f>
        <v>345</v>
      </c>
      <c r="BC28" s="11" t="n">
        <f aca="false">ABS(AE28-AF28)</f>
        <v>3</v>
      </c>
      <c r="BD28" s="11" t="n">
        <f aca="false">AC28+AD28</f>
        <v>124</v>
      </c>
      <c r="BE28" s="11" t="n">
        <f aca="false">AI28+AJ28</f>
        <v>12</v>
      </c>
      <c r="BF28" s="10" t="str">
        <f aca="false">B28&amp;"|"&amp;H28</f>
        <v>Asia Cup 2025|Super Four</v>
      </c>
    </row>
    <row r="29" customFormat="false" ht="23.85" hidden="false" customHeight="false" outlineLevel="0" collapsed="false">
      <c r="A29" s="10" t="s">
        <v>303</v>
      </c>
      <c r="B29" s="10" t="s">
        <v>214</v>
      </c>
      <c r="C29" s="11" t="n">
        <v>2025</v>
      </c>
      <c r="D29" s="11" t="n">
        <v>15</v>
      </c>
      <c r="E29" s="10" t="s">
        <v>304</v>
      </c>
      <c r="F29" s="12" t="n">
        <v>45923</v>
      </c>
      <c r="G29" s="10" t="s">
        <v>174</v>
      </c>
      <c r="H29" s="10" t="s">
        <v>174</v>
      </c>
      <c r="I29" s="10" t="s">
        <v>139</v>
      </c>
      <c r="J29" s="10" t="s">
        <v>215</v>
      </c>
      <c r="K29" s="10" t="s">
        <v>216</v>
      </c>
      <c r="L29" s="10" t="s">
        <v>217</v>
      </c>
      <c r="M29" s="10" t="s">
        <v>106</v>
      </c>
      <c r="N29" s="13"/>
      <c r="O29" s="13"/>
      <c r="P29" s="13"/>
      <c r="Q29" s="14" t="n">
        <v>20.12</v>
      </c>
      <c r="R29" s="14" t="n">
        <v>3.05</v>
      </c>
      <c r="S29" s="10"/>
      <c r="T29" s="15"/>
      <c r="U29" s="10"/>
      <c r="V29" s="16"/>
      <c r="W29" s="10"/>
      <c r="X29" s="17" t="s">
        <v>305</v>
      </c>
      <c r="Y29" s="10" t="s">
        <v>111</v>
      </c>
      <c r="Z29" s="10" t="s">
        <v>129</v>
      </c>
      <c r="AA29" s="10" t="s">
        <v>129</v>
      </c>
      <c r="AB29" s="10" t="s">
        <v>113</v>
      </c>
      <c r="AC29" s="11" t="n">
        <v>53</v>
      </c>
      <c r="AD29" s="11" t="n">
        <v>48</v>
      </c>
      <c r="AE29" s="11" t="n">
        <v>133</v>
      </c>
      <c r="AF29" s="11" t="n">
        <v>138</v>
      </c>
      <c r="AG29" s="10" t="s">
        <v>129</v>
      </c>
      <c r="AH29" s="10" t="s">
        <v>306</v>
      </c>
      <c r="AI29" s="11" t="n">
        <v>7</v>
      </c>
      <c r="AJ29" s="11" t="n">
        <v>7</v>
      </c>
      <c r="AK29" s="10" t="s">
        <v>132</v>
      </c>
      <c r="AL29" s="10" t="s">
        <v>233</v>
      </c>
      <c r="AM29" s="10" t="s">
        <v>133</v>
      </c>
      <c r="AN29" s="10" t="s">
        <v>136</v>
      </c>
      <c r="AO29" s="10"/>
      <c r="AP29" s="10" t="s">
        <v>224</v>
      </c>
      <c r="AQ29" s="17" t="s">
        <v>307</v>
      </c>
      <c r="AR29" s="10" t="str">
        <f aca="false">IF(AB29="Bat",AA29,IF(AA29=Y29,Z29,Y29))</f>
        <v>Sri Lanka</v>
      </c>
      <c r="AS29" s="10" t="str">
        <f aca="false">IF(AR29=Y29,Z29,Y29)</f>
        <v>Pakistan</v>
      </c>
      <c r="AT29" s="11" t="n">
        <f aca="false">IF(AR29=Y29,AE29,AF29)</f>
        <v>133</v>
      </c>
      <c r="AU29" s="11" t="n">
        <f aca="false">IF(AR29=Y29,AF29,AE29)</f>
        <v>138</v>
      </c>
      <c r="AV29" s="10" t="str">
        <f aca="false">IF(AG29=Y29,Z29,Y29)</f>
        <v>Sri Lanka</v>
      </c>
      <c r="AW29" s="10" t="str">
        <f aca="false">IF(AE29=AF29,"Tie (Super Over)","Normal")</f>
        <v>Normal</v>
      </c>
      <c r="AX29" s="10" t="str">
        <f aca="false">IF(AW29&lt;&gt;"Normal","Super Over",IF(AG29=AR29,"Batting First","Chasing"))</f>
        <v>Chasing</v>
      </c>
      <c r="AY29" s="10" t="str">
        <f aca="false">IF(AA29=AG29,"Yes","No")</f>
        <v>Yes</v>
      </c>
      <c r="AZ29" s="10" t="str">
        <f aca="false">IF(ISNUMBER(SEARCH("Wicket",AK29)),"Wickets",IF(ISNUMBER(SEARCH("Run",AK29)),"Runs","Super Over"))</f>
        <v>Wickets</v>
      </c>
      <c r="BA29" s="11" t="n">
        <f aca="false">IF(AZ29="Super Over","",VALUE(LEFT(AK29,FIND(" ",AK29)-1)))</f>
        <v>5</v>
      </c>
      <c r="BB29" s="11" t="n">
        <f aca="false">AE29+AF29</f>
        <v>271</v>
      </c>
      <c r="BC29" s="11" t="n">
        <f aca="false">ABS(AE29-AF29)</f>
        <v>5</v>
      </c>
      <c r="BD29" s="11" t="n">
        <f aca="false">AC29+AD29</f>
        <v>101</v>
      </c>
      <c r="BE29" s="11" t="n">
        <f aca="false">AI29+AJ29</f>
        <v>14</v>
      </c>
      <c r="BF29" s="10" t="str">
        <f aca="false">B29&amp;"|"&amp;H29</f>
        <v>Asia Cup 2025|Super Four</v>
      </c>
    </row>
    <row r="30" customFormat="false" ht="35.05" hidden="false" customHeight="false" outlineLevel="0" collapsed="false">
      <c r="A30" s="10" t="s">
        <v>308</v>
      </c>
      <c r="B30" s="10" t="s">
        <v>214</v>
      </c>
      <c r="C30" s="11" t="n">
        <v>2025</v>
      </c>
      <c r="D30" s="11" t="n">
        <v>16</v>
      </c>
      <c r="E30" s="10" t="s">
        <v>309</v>
      </c>
      <c r="F30" s="12" t="n">
        <v>45924</v>
      </c>
      <c r="G30" s="10" t="s">
        <v>174</v>
      </c>
      <c r="H30" s="10" t="s">
        <v>174</v>
      </c>
      <c r="I30" s="10" t="s">
        <v>150</v>
      </c>
      <c r="J30" s="10" t="s">
        <v>103</v>
      </c>
      <c r="K30" s="10" t="s">
        <v>104</v>
      </c>
      <c r="L30" s="10" t="s">
        <v>217</v>
      </c>
      <c r="M30" s="10" t="s">
        <v>106</v>
      </c>
      <c r="N30" s="13" t="n">
        <v>65</v>
      </c>
      <c r="O30" s="13" t="n">
        <v>80</v>
      </c>
      <c r="P30" s="13" t="n">
        <v>75</v>
      </c>
      <c r="Q30" s="14" t="n">
        <v>20.12</v>
      </c>
      <c r="R30" s="14" t="n">
        <v>3.05</v>
      </c>
      <c r="S30" s="10"/>
      <c r="T30" s="15"/>
      <c r="U30" s="10" t="s">
        <v>152</v>
      </c>
      <c r="V30" s="16" t="n">
        <v>14</v>
      </c>
      <c r="W30" s="10"/>
      <c r="X30" s="17" t="s">
        <v>310</v>
      </c>
      <c r="Y30" s="10" t="s">
        <v>130</v>
      </c>
      <c r="Z30" s="10" t="s">
        <v>144</v>
      </c>
      <c r="AA30" s="10" t="s">
        <v>144</v>
      </c>
      <c r="AB30" s="10" t="s">
        <v>113</v>
      </c>
      <c r="AC30" s="11" t="n">
        <v>72</v>
      </c>
      <c r="AD30" s="11" t="n">
        <v>44</v>
      </c>
      <c r="AE30" s="11" t="n">
        <v>168</v>
      </c>
      <c r="AF30" s="11" t="n">
        <v>127</v>
      </c>
      <c r="AG30" s="10" t="s">
        <v>130</v>
      </c>
      <c r="AH30" s="10" t="s">
        <v>301</v>
      </c>
      <c r="AI30" s="11" t="n">
        <v>4</v>
      </c>
      <c r="AJ30" s="11" t="n">
        <v>9</v>
      </c>
      <c r="AK30" s="10" t="s">
        <v>279</v>
      </c>
      <c r="AL30" s="10" t="s">
        <v>158</v>
      </c>
      <c r="AM30" s="10" t="s">
        <v>134</v>
      </c>
      <c r="AN30" s="10" t="s">
        <v>135</v>
      </c>
      <c r="AO30" s="10"/>
      <c r="AP30" s="10" t="s">
        <v>179</v>
      </c>
      <c r="AQ30" s="17" t="s">
        <v>311</v>
      </c>
      <c r="AR30" s="10" t="str">
        <f aca="false">IF(AB30="Bat",AA30,IF(AA30=Y30,Z30,Y30))</f>
        <v>India</v>
      </c>
      <c r="AS30" s="10" t="str">
        <f aca="false">IF(AR30=Y30,Z30,Y30)</f>
        <v>Bangladesh</v>
      </c>
      <c r="AT30" s="11" t="n">
        <f aca="false">IF(AR30=Y30,AE30,AF30)</f>
        <v>168</v>
      </c>
      <c r="AU30" s="11" t="n">
        <f aca="false">IF(AR30=Y30,AF30,AE30)</f>
        <v>127</v>
      </c>
      <c r="AV30" s="10" t="str">
        <f aca="false">IF(AG30=Y30,Z30,Y30)</f>
        <v>Bangladesh</v>
      </c>
      <c r="AW30" s="10" t="str">
        <f aca="false">IF(AE30=AF30,"Tie (Super Over)","Normal")</f>
        <v>Normal</v>
      </c>
      <c r="AX30" s="10" t="str">
        <f aca="false">IF(AW30&lt;&gt;"Normal","Super Over",IF(AG30=AR30,"Batting First","Chasing"))</f>
        <v>Batting First</v>
      </c>
      <c r="AY30" s="10" t="str">
        <f aca="false">IF(AA30=AG30,"Yes","No")</f>
        <v>No</v>
      </c>
      <c r="AZ30" s="10" t="str">
        <f aca="false">IF(ISNUMBER(SEARCH("Wicket",AK30)),"Wickets",IF(ISNUMBER(SEARCH("Run",AK30)),"Runs","Super Over"))</f>
        <v>Runs</v>
      </c>
      <c r="BA30" s="11" t="n">
        <f aca="false">IF(AZ30="Super Over","",VALUE(LEFT(AK30,FIND(" ",AK30)-1)))</f>
        <v>41</v>
      </c>
      <c r="BB30" s="11" t="n">
        <f aca="false">AE30+AF30</f>
        <v>295</v>
      </c>
      <c r="BC30" s="11" t="n">
        <f aca="false">ABS(AE30-AF30)</f>
        <v>41</v>
      </c>
      <c r="BD30" s="11" t="n">
        <f aca="false">AC30+AD30</f>
        <v>116</v>
      </c>
      <c r="BE30" s="11" t="n">
        <f aca="false">AI30+AJ30</f>
        <v>13</v>
      </c>
      <c r="BF30" s="10" t="str">
        <f aca="false">B30&amp;"|"&amp;H30</f>
        <v>Asia Cup 2025|Super Four</v>
      </c>
    </row>
    <row r="31" customFormat="false" ht="35.05" hidden="false" customHeight="false" outlineLevel="0" collapsed="false">
      <c r="A31" s="10" t="s">
        <v>312</v>
      </c>
      <c r="B31" s="10" t="s">
        <v>214</v>
      </c>
      <c r="C31" s="11" t="n">
        <v>2025</v>
      </c>
      <c r="D31" s="11" t="n">
        <v>17</v>
      </c>
      <c r="E31" s="10" t="s">
        <v>313</v>
      </c>
      <c r="F31" s="12" t="n">
        <v>45925</v>
      </c>
      <c r="G31" s="10" t="s">
        <v>174</v>
      </c>
      <c r="H31" s="10" t="s">
        <v>174</v>
      </c>
      <c r="I31" s="10" t="s">
        <v>161</v>
      </c>
      <c r="J31" s="10" t="s">
        <v>103</v>
      </c>
      <c r="K31" s="10" t="s">
        <v>104</v>
      </c>
      <c r="L31" s="10" t="s">
        <v>217</v>
      </c>
      <c r="M31" s="10" t="s">
        <v>106</v>
      </c>
      <c r="N31" s="13" t="n">
        <v>65</v>
      </c>
      <c r="O31" s="13" t="n">
        <v>80</v>
      </c>
      <c r="P31" s="13" t="n">
        <v>75</v>
      </c>
      <c r="Q31" s="14" t="n">
        <v>20.12</v>
      </c>
      <c r="R31" s="14" t="n">
        <v>3.05</v>
      </c>
      <c r="S31" s="10"/>
      <c r="T31" s="15"/>
      <c r="U31" s="10" t="s">
        <v>152</v>
      </c>
      <c r="V31" s="16"/>
      <c r="W31" s="10"/>
      <c r="X31" s="17" t="s">
        <v>314</v>
      </c>
      <c r="Y31" s="10" t="s">
        <v>129</v>
      </c>
      <c r="Z31" s="10" t="s">
        <v>144</v>
      </c>
      <c r="AA31" s="10" t="s">
        <v>144</v>
      </c>
      <c r="AB31" s="10" t="s">
        <v>113</v>
      </c>
      <c r="AC31" s="11" t="n">
        <v>27</v>
      </c>
      <c r="AD31" s="11" t="n">
        <v>36</v>
      </c>
      <c r="AE31" s="11" t="n">
        <v>135</v>
      </c>
      <c r="AF31" s="11" t="n">
        <v>124</v>
      </c>
      <c r="AG31" s="10" t="s">
        <v>129</v>
      </c>
      <c r="AH31" s="10" t="s">
        <v>278</v>
      </c>
      <c r="AI31" s="11" t="n">
        <v>4</v>
      </c>
      <c r="AJ31" s="11" t="n">
        <v>3</v>
      </c>
      <c r="AK31" s="10" t="s">
        <v>315</v>
      </c>
      <c r="AL31" s="10" t="s">
        <v>158</v>
      </c>
      <c r="AM31" s="10" t="s">
        <v>135</v>
      </c>
      <c r="AN31" s="10" t="s">
        <v>233</v>
      </c>
      <c r="AO31" s="10"/>
      <c r="AP31" s="10" t="s">
        <v>179</v>
      </c>
      <c r="AQ31" s="17" t="s">
        <v>316</v>
      </c>
      <c r="AR31" s="10" t="str">
        <f aca="false">IF(AB31="Bat",AA31,IF(AA31=Y31,Z31,Y31))</f>
        <v>Pakistan</v>
      </c>
      <c r="AS31" s="10" t="str">
        <f aca="false">IF(AR31=Y31,Z31,Y31)</f>
        <v>Bangladesh</v>
      </c>
      <c r="AT31" s="11" t="n">
        <f aca="false">IF(AR31=Y31,AE31,AF31)</f>
        <v>135</v>
      </c>
      <c r="AU31" s="11" t="n">
        <f aca="false">IF(AR31=Y31,AF31,AE31)</f>
        <v>124</v>
      </c>
      <c r="AV31" s="10" t="str">
        <f aca="false">IF(AG31=Y31,Z31,Y31)</f>
        <v>Bangladesh</v>
      </c>
      <c r="AW31" s="10" t="str">
        <f aca="false">IF(AE31=AF31,"Tie (Super Over)","Normal")</f>
        <v>Normal</v>
      </c>
      <c r="AX31" s="10" t="str">
        <f aca="false">IF(AW31&lt;&gt;"Normal","Super Over",IF(AG31=AR31,"Batting First","Chasing"))</f>
        <v>Batting First</v>
      </c>
      <c r="AY31" s="10" t="str">
        <f aca="false">IF(AA31=AG31,"Yes","No")</f>
        <v>No</v>
      </c>
      <c r="AZ31" s="10" t="str">
        <f aca="false">IF(ISNUMBER(SEARCH("Wicket",AK31)),"Wickets",IF(ISNUMBER(SEARCH("Run",AK31)),"Runs","Super Over"))</f>
        <v>Runs</v>
      </c>
      <c r="BA31" s="11" t="n">
        <f aca="false">IF(AZ31="Super Over","",VALUE(LEFT(AK31,FIND(" ",AK31)-1)))</f>
        <v>11</v>
      </c>
      <c r="BB31" s="11" t="n">
        <f aca="false">AE31+AF31</f>
        <v>259</v>
      </c>
      <c r="BC31" s="11" t="n">
        <f aca="false">ABS(AE31-AF31)</f>
        <v>11</v>
      </c>
      <c r="BD31" s="11" t="n">
        <f aca="false">AC31+AD31</f>
        <v>63</v>
      </c>
      <c r="BE31" s="11" t="n">
        <f aca="false">AI31+AJ31</f>
        <v>7</v>
      </c>
      <c r="BF31" s="10" t="str">
        <f aca="false">B31&amp;"|"&amp;H31</f>
        <v>Asia Cup 2025|Super Four</v>
      </c>
    </row>
    <row r="32" customFormat="false" ht="23.85" hidden="false" customHeight="false" outlineLevel="0" collapsed="false">
      <c r="A32" s="10" t="s">
        <v>317</v>
      </c>
      <c r="B32" s="10" t="s">
        <v>214</v>
      </c>
      <c r="C32" s="11" t="n">
        <v>2025</v>
      </c>
      <c r="D32" s="11" t="n">
        <v>18</v>
      </c>
      <c r="E32" s="10" t="s">
        <v>318</v>
      </c>
      <c r="F32" s="12" t="n">
        <v>45926</v>
      </c>
      <c r="G32" s="10" t="s">
        <v>174</v>
      </c>
      <c r="H32" s="10" t="s">
        <v>174</v>
      </c>
      <c r="I32" s="10" t="s">
        <v>168</v>
      </c>
      <c r="J32" s="10" t="s">
        <v>103</v>
      </c>
      <c r="K32" s="10" t="s">
        <v>104</v>
      </c>
      <c r="L32" s="10" t="s">
        <v>217</v>
      </c>
      <c r="M32" s="10" t="s">
        <v>106</v>
      </c>
      <c r="N32" s="13" t="n">
        <v>65</v>
      </c>
      <c r="O32" s="13" t="n">
        <v>80</v>
      </c>
      <c r="P32" s="13" t="n">
        <v>75</v>
      </c>
      <c r="Q32" s="14" t="n">
        <v>20.12</v>
      </c>
      <c r="R32" s="14" t="n">
        <v>3.05</v>
      </c>
      <c r="S32" s="10"/>
      <c r="T32" s="15"/>
      <c r="U32" s="10" t="s">
        <v>152</v>
      </c>
      <c r="V32" s="16"/>
      <c r="W32" s="10"/>
      <c r="X32" s="17" t="s">
        <v>319</v>
      </c>
      <c r="Y32" s="10" t="s">
        <v>130</v>
      </c>
      <c r="Z32" s="10" t="s">
        <v>111</v>
      </c>
      <c r="AA32" s="10" t="s">
        <v>111</v>
      </c>
      <c r="AB32" s="10" t="s">
        <v>113</v>
      </c>
      <c r="AC32" s="11" t="n">
        <v>71</v>
      </c>
      <c r="AD32" s="11" t="n">
        <v>72</v>
      </c>
      <c r="AE32" s="11" t="n">
        <v>202</v>
      </c>
      <c r="AF32" s="11" t="n">
        <v>202</v>
      </c>
      <c r="AG32" s="10" t="s">
        <v>130</v>
      </c>
      <c r="AH32" s="10" t="s">
        <v>267</v>
      </c>
      <c r="AI32" s="11" t="n">
        <v>14</v>
      </c>
      <c r="AJ32" s="11" t="n">
        <v>5</v>
      </c>
      <c r="AK32" s="10" t="s">
        <v>320</v>
      </c>
      <c r="AL32" s="10" t="s">
        <v>136</v>
      </c>
      <c r="AM32" s="10" t="s">
        <v>233</v>
      </c>
      <c r="AN32" s="10" t="s">
        <v>133</v>
      </c>
      <c r="AO32" s="10"/>
      <c r="AP32" s="10" t="s">
        <v>224</v>
      </c>
      <c r="AQ32" s="17" t="s">
        <v>321</v>
      </c>
      <c r="AR32" s="10" t="str">
        <f aca="false">IF(AB32="Bat",AA32,IF(AA32=Y32,Z32,Y32))</f>
        <v>India</v>
      </c>
      <c r="AS32" s="10" t="str">
        <f aca="false">IF(AR32=Y32,Z32,Y32)</f>
        <v>Sri Lanka</v>
      </c>
      <c r="AT32" s="11" t="n">
        <f aca="false">IF(AR32=Y32,AE32,AF32)</f>
        <v>202</v>
      </c>
      <c r="AU32" s="11" t="n">
        <f aca="false">IF(AR32=Y32,AF32,AE32)</f>
        <v>202</v>
      </c>
      <c r="AV32" s="10" t="str">
        <f aca="false">IF(AG32=Y32,Z32,Y32)</f>
        <v>Sri Lanka</v>
      </c>
      <c r="AW32" s="10" t="str">
        <f aca="false">IF(AE32=AF32,"Tie (Super Over)","Normal")</f>
        <v>Tie (Super Over)</v>
      </c>
      <c r="AX32" s="10" t="str">
        <f aca="false">IF(AW32&lt;&gt;"Normal","Super Over",IF(AG32=AR32,"Batting First","Chasing"))</f>
        <v>Super Over</v>
      </c>
      <c r="AY32" s="10" t="str">
        <f aca="false">IF(AA32=AG32,"Yes","No")</f>
        <v>No</v>
      </c>
      <c r="AZ32" s="10" t="str">
        <f aca="false">IF(ISNUMBER(SEARCH("Wicket",AK32)),"Wickets",IF(ISNUMBER(SEARCH("Run",AK32)),"Runs","Super Over"))</f>
        <v>Super Over</v>
      </c>
      <c r="BA32" s="11" t="str">
        <f aca="false">IF(AZ32="Super Over","",VALUE(LEFT(AK32,FIND(" ",AK32)-1)))</f>
        <v/>
      </c>
      <c r="BB32" s="11" t="n">
        <f aca="false">AE32+AF32</f>
        <v>404</v>
      </c>
      <c r="BC32" s="11" t="n">
        <f aca="false">ABS(AE32-AF32)</f>
        <v>0</v>
      </c>
      <c r="BD32" s="11" t="n">
        <f aca="false">AC32+AD32</f>
        <v>143</v>
      </c>
      <c r="BE32" s="11" t="n">
        <f aca="false">AI32+AJ32</f>
        <v>19</v>
      </c>
      <c r="BF32" s="10" t="str">
        <f aca="false">B32&amp;"|"&amp;H32</f>
        <v>Asia Cup 2025|Super Four</v>
      </c>
    </row>
    <row r="33" customFormat="false" ht="35.05" hidden="false" customHeight="false" outlineLevel="0" collapsed="false">
      <c r="A33" s="10" t="s">
        <v>322</v>
      </c>
      <c r="B33" s="10" t="s">
        <v>214</v>
      </c>
      <c r="C33" s="11" t="n">
        <v>2025</v>
      </c>
      <c r="D33" s="11" t="n">
        <v>19</v>
      </c>
      <c r="E33" s="10" t="s">
        <v>209</v>
      </c>
      <c r="F33" s="12" t="n">
        <v>45928</v>
      </c>
      <c r="G33" s="10" t="s">
        <v>209</v>
      </c>
      <c r="H33" s="10" t="s">
        <v>209</v>
      </c>
      <c r="I33" s="10" t="s">
        <v>125</v>
      </c>
      <c r="J33" s="10" t="s">
        <v>103</v>
      </c>
      <c r="K33" s="10" t="s">
        <v>104</v>
      </c>
      <c r="L33" s="10" t="s">
        <v>217</v>
      </c>
      <c r="M33" s="10" t="s">
        <v>106</v>
      </c>
      <c r="N33" s="13" t="n">
        <v>65</v>
      </c>
      <c r="O33" s="13" t="n">
        <v>80</v>
      </c>
      <c r="P33" s="13" t="n">
        <v>75</v>
      </c>
      <c r="Q33" s="14" t="n">
        <v>20.12</v>
      </c>
      <c r="R33" s="14" t="n">
        <v>3.05</v>
      </c>
      <c r="S33" s="10" t="s">
        <v>323</v>
      </c>
      <c r="T33" s="15"/>
      <c r="U33" s="10" t="s">
        <v>152</v>
      </c>
      <c r="V33" s="16"/>
      <c r="W33" s="10"/>
      <c r="X33" s="17" t="s">
        <v>324</v>
      </c>
      <c r="Y33" s="10" t="s">
        <v>129</v>
      </c>
      <c r="Z33" s="10" t="s">
        <v>130</v>
      </c>
      <c r="AA33" s="10" t="s">
        <v>130</v>
      </c>
      <c r="AB33" s="10" t="s">
        <v>113</v>
      </c>
      <c r="AC33" s="11" t="n">
        <v>45</v>
      </c>
      <c r="AD33" s="11" t="n">
        <v>36</v>
      </c>
      <c r="AE33" s="11" t="n">
        <v>146</v>
      </c>
      <c r="AF33" s="11" t="n">
        <v>150</v>
      </c>
      <c r="AG33" s="10" t="s">
        <v>130</v>
      </c>
      <c r="AH33" s="10" t="s">
        <v>325</v>
      </c>
      <c r="AI33" s="11" t="n">
        <v>7</v>
      </c>
      <c r="AJ33" s="11" t="n">
        <v>2</v>
      </c>
      <c r="AK33" s="10" t="s">
        <v>132</v>
      </c>
      <c r="AL33" s="10" t="s">
        <v>158</v>
      </c>
      <c r="AM33" s="10" t="s">
        <v>133</v>
      </c>
      <c r="AN33" s="10" t="s">
        <v>135</v>
      </c>
      <c r="AO33" s="10"/>
      <c r="AP33" s="10" t="s">
        <v>224</v>
      </c>
      <c r="AQ33" s="17" t="s">
        <v>326</v>
      </c>
      <c r="AR33" s="10" t="str">
        <f aca="false">IF(AB33="Bat",AA33,IF(AA33=Y33,Z33,Y33))</f>
        <v>Pakistan</v>
      </c>
      <c r="AS33" s="10" t="str">
        <f aca="false">IF(AR33=Y33,Z33,Y33)</f>
        <v>India</v>
      </c>
      <c r="AT33" s="11" t="n">
        <f aca="false">IF(AR33=Y33,AE33,AF33)</f>
        <v>146</v>
      </c>
      <c r="AU33" s="11" t="n">
        <f aca="false">IF(AR33=Y33,AF33,AE33)</f>
        <v>150</v>
      </c>
      <c r="AV33" s="10" t="str">
        <f aca="false">IF(AG33=Y33,Z33,Y33)</f>
        <v>Pakistan</v>
      </c>
      <c r="AW33" s="10" t="str">
        <f aca="false">IF(AE33=AF33,"Tie (Super Over)","Normal")</f>
        <v>Normal</v>
      </c>
      <c r="AX33" s="10" t="str">
        <f aca="false">IF(AW33&lt;&gt;"Normal","Super Over",IF(AG33=AR33,"Batting First","Chasing"))</f>
        <v>Chasing</v>
      </c>
      <c r="AY33" s="10" t="str">
        <f aca="false">IF(AA33=AG33,"Yes","No")</f>
        <v>Yes</v>
      </c>
      <c r="AZ33" s="10" t="str">
        <f aca="false">IF(ISNUMBER(SEARCH("Wicket",AK33)),"Wickets",IF(ISNUMBER(SEARCH("Run",AK33)),"Runs","Super Over"))</f>
        <v>Wickets</v>
      </c>
      <c r="BA33" s="11" t="n">
        <f aca="false">IF(AZ33="Super Over","",VALUE(LEFT(AK33,FIND(" ",AK33)-1)))</f>
        <v>5</v>
      </c>
      <c r="BB33" s="11" t="n">
        <f aca="false">AE33+AF33</f>
        <v>296</v>
      </c>
      <c r="BC33" s="11" t="n">
        <f aca="false">ABS(AE33-AF33)</f>
        <v>4</v>
      </c>
      <c r="BD33" s="11" t="n">
        <f aca="false">AC33+AD33</f>
        <v>81</v>
      </c>
      <c r="BE33" s="11" t="n">
        <f aca="false">AI33+AJ33</f>
        <v>9</v>
      </c>
      <c r="BF33" s="10" t="str">
        <f aca="false">B33&amp;"|"&amp;H33</f>
        <v>Asia Cup 2025|Final</v>
      </c>
    </row>
  </sheetData>
  <autoFilter ref="A1:BF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2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14" min="8" style="0" width="22"/>
    <col collapsed="false" customWidth="true" hidden="false" outlineLevel="0" max="15" min="15" style="0" width="12"/>
    <col collapsed="false" customWidth="true" hidden="false" outlineLevel="0" max="21" min="16" style="0" width="22"/>
    <col collapsed="false" customWidth="true" hidden="false" outlineLevel="0" max="25" min="22" style="0" width="60"/>
    <col collapsed="false" customWidth="true" hidden="false" outlineLevel="0" max="26" min="26" style="0" width="22"/>
    <col collapsed="false" customWidth="true" hidden="false" outlineLevel="0" max="27" min="27" style="0" width="12"/>
    <col collapsed="false" customWidth="true" hidden="false" outlineLevel="0" max="34" min="28" style="0" width="22"/>
    <col collapsed="false" customWidth="true" hidden="false" outlineLevel="0" max="35" min="35" style="0" width="12"/>
    <col collapsed="false" customWidth="true" hidden="false" outlineLevel="0" max="41" min="36" style="0" width="22"/>
    <col collapsed="false" customWidth="true" hidden="false" outlineLevel="0" max="45" min="42" style="0" width="60"/>
    <col collapsed="false" customWidth="true" hidden="false" outlineLevel="0" max="53" min="46" style="0" width="12"/>
  </cols>
  <sheetData>
    <row r="1" customFormat="false" ht="42" hidden="false" customHeight="true" outlineLevel="0" collapsed="false">
      <c r="A1" s="8" t="s">
        <v>44</v>
      </c>
      <c r="B1" s="8" t="s">
        <v>48</v>
      </c>
      <c r="C1" s="8" t="s">
        <v>49</v>
      </c>
      <c r="D1" s="8" t="s">
        <v>68</v>
      </c>
      <c r="E1" s="8" t="s">
        <v>69</v>
      </c>
      <c r="F1" s="8" t="s">
        <v>327</v>
      </c>
      <c r="G1" s="8" t="s">
        <v>328</v>
      </c>
      <c r="H1" s="8" t="s">
        <v>329</v>
      </c>
      <c r="I1" s="8" t="s">
        <v>330</v>
      </c>
      <c r="J1" s="8" t="s">
        <v>78</v>
      </c>
      <c r="K1" s="8" t="s">
        <v>331</v>
      </c>
      <c r="L1" s="8" t="s">
        <v>332</v>
      </c>
      <c r="M1" s="8" t="s">
        <v>333</v>
      </c>
      <c r="N1" s="8" t="s">
        <v>334</v>
      </c>
      <c r="O1" s="8" t="s">
        <v>335</v>
      </c>
      <c r="P1" s="8" t="s">
        <v>336</v>
      </c>
      <c r="Q1" s="8" t="s">
        <v>337</v>
      </c>
      <c r="R1" s="8" t="s">
        <v>338</v>
      </c>
      <c r="S1" s="8" t="s">
        <v>339</v>
      </c>
      <c r="T1" s="8" t="s">
        <v>340</v>
      </c>
      <c r="U1" s="8" t="s">
        <v>341</v>
      </c>
      <c r="V1" s="8" t="s">
        <v>342</v>
      </c>
      <c r="W1" s="8" t="s">
        <v>343</v>
      </c>
      <c r="X1" s="8" t="s">
        <v>344</v>
      </c>
      <c r="Y1" s="8" t="s">
        <v>345</v>
      </c>
      <c r="Z1" s="8" t="s">
        <v>346</v>
      </c>
      <c r="AA1" s="8" t="s">
        <v>347</v>
      </c>
      <c r="AB1" s="8" t="s">
        <v>348</v>
      </c>
      <c r="AC1" s="8" t="s">
        <v>349</v>
      </c>
      <c r="AD1" s="8" t="s">
        <v>79</v>
      </c>
      <c r="AE1" s="8" t="s">
        <v>350</v>
      </c>
      <c r="AF1" s="8" t="s">
        <v>351</v>
      </c>
      <c r="AG1" s="8" t="s">
        <v>352</v>
      </c>
      <c r="AH1" s="8" t="s">
        <v>353</v>
      </c>
      <c r="AI1" s="8" t="s">
        <v>354</v>
      </c>
      <c r="AJ1" s="8" t="s">
        <v>355</v>
      </c>
      <c r="AK1" s="8" t="s">
        <v>356</v>
      </c>
      <c r="AL1" s="8" t="s">
        <v>357</v>
      </c>
      <c r="AM1" s="8" t="s">
        <v>358</v>
      </c>
      <c r="AN1" s="8" t="s">
        <v>359</v>
      </c>
      <c r="AO1" s="8" t="s">
        <v>360</v>
      </c>
      <c r="AP1" s="8" t="s">
        <v>361</v>
      </c>
      <c r="AQ1" s="8" t="s">
        <v>362</v>
      </c>
      <c r="AR1" s="8" t="s">
        <v>363</v>
      </c>
      <c r="AS1" s="8" t="s">
        <v>364</v>
      </c>
      <c r="AT1" s="9" t="s">
        <v>365</v>
      </c>
      <c r="AU1" s="9" t="s">
        <v>366</v>
      </c>
      <c r="AV1" s="9" t="s">
        <v>367</v>
      </c>
      <c r="AW1" s="9" t="s">
        <v>368</v>
      </c>
      <c r="AX1" s="9" t="s">
        <v>369</v>
      </c>
      <c r="AY1" s="9" t="s">
        <v>370</v>
      </c>
      <c r="AZ1" s="9" t="s">
        <v>371</v>
      </c>
      <c r="BA1" s="9" t="s">
        <v>372</v>
      </c>
    </row>
    <row r="2" customFormat="false" ht="15" hidden="false" customHeight="false" outlineLevel="0" collapsed="false">
      <c r="A2" s="10" t="s">
        <v>213</v>
      </c>
      <c r="B2" s="10" t="s">
        <v>99</v>
      </c>
      <c r="C2" s="12" t="n">
        <v>45909</v>
      </c>
      <c r="D2" s="10" t="s">
        <v>112</v>
      </c>
      <c r="E2" s="10" t="s">
        <v>155</v>
      </c>
      <c r="F2" s="10" t="s">
        <v>373</v>
      </c>
      <c r="G2" s="10" t="n">
        <v>188</v>
      </c>
      <c r="H2" s="10" t="n">
        <v>6</v>
      </c>
      <c r="I2" s="18" t="n">
        <v>20</v>
      </c>
      <c r="J2" s="10" t="n">
        <v>10</v>
      </c>
      <c r="K2" s="10" t="n">
        <v>0</v>
      </c>
      <c r="L2" s="10" t="n">
        <v>1</v>
      </c>
      <c r="M2" s="10" t="n">
        <v>9</v>
      </c>
      <c r="N2" s="10" t="n">
        <v>0</v>
      </c>
      <c r="O2" s="10" t="n">
        <v>41</v>
      </c>
      <c r="P2" s="10" t="s">
        <v>374</v>
      </c>
      <c r="Q2" s="10" t="n">
        <v>10</v>
      </c>
      <c r="R2" s="10" t="n">
        <v>5</v>
      </c>
      <c r="S2" s="10" t="s">
        <v>375</v>
      </c>
      <c r="T2" s="10" t="s">
        <v>376</v>
      </c>
      <c r="U2" s="10" t="s">
        <v>377</v>
      </c>
      <c r="V2" s="10" t="s">
        <v>378</v>
      </c>
      <c r="W2" s="10" t="s">
        <v>379</v>
      </c>
      <c r="X2" s="10" t="s">
        <v>380</v>
      </c>
      <c r="Y2" s="10" t="s">
        <v>381</v>
      </c>
      <c r="Z2" s="10" t="s">
        <v>382</v>
      </c>
      <c r="AA2" s="10" t="n">
        <v>94</v>
      </c>
      <c r="AB2" s="10" t="n">
        <v>9</v>
      </c>
      <c r="AC2" s="18" t="n">
        <v>20</v>
      </c>
      <c r="AD2" s="10" t="n">
        <v>10</v>
      </c>
      <c r="AE2" s="10" t="n">
        <v>0</v>
      </c>
      <c r="AF2" s="10" t="n">
        <v>1</v>
      </c>
      <c r="AG2" s="10" t="n">
        <v>9</v>
      </c>
      <c r="AH2" s="10" t="n">
        <v>0</v>
      </c>
      <c r="AI2" s="10" t="n">
        <v>23</v>
      </c>
      <c r="AJ2" s="10" t="s">
        <v>374</v>
      </c>
      <c r="AK2" s="10" t="n">
        <v>6</v>
      </c>
      <c r="AL2" s="10" t="n">
        <v>2</v>
      </c>
      <c r="AM2" s="10" t="s">
        <v>383</v>
      </c>
      <c r="AN2" s="10" t="s">
        <v>384</v>
      </c>
      <c r="AO2" s="10" t="s">
        <v>385</v>
      </c>
      <c r="AP2" s="10" t="s">
        <v>386</v>
      </c>
      <c r="AQ2" s="10" t="s">
        <v>387</v>
      </c>
      <c r="AR2" s="10" t="s">
        <v>388</v>
      </c>
      <c r="AS2" s="10" t="s">
        <v>389</v>
      </c>
      <c r="AT2" s="11" t="n">
        <f aca="false">4*Q2+6*R2</f>
        <v>70</v>
      </c>
      <c r="AU2" s="11" t="n">
        <f aca="false">4*AK2+6*AL2</f>
        <v>36</v>
      </c>
      <c r="AV2" s="19" t="n">
        <f aca="false">AT2/G2</f>
        <v>0.372340425531915</v>
      </c>
      <c r="AW2" s="19" t="n">
        <f aca="false">AU2/AA2</f>
        <v>0.382978723404255</v>
      </c>
      <c r="AX2" s="20" t="n">
        <f aca="false">G2/((INT(I2)*6+ROUND((I2-INT(I2))*10,0))/6)</f>
        <v>9.4</v>
      </c>
      <c r="AY2" s="20" t="n">
        <f aca="false">AA2/((INT(AC2)*6+ROUND((AC2-INT(AC2))*10,0))/6)</f>
        <v>4.7</v>
      </c>
      <c r="AZ2" s="11" t="n">
        <f aca="false">Q2+AK2</f>
        <v>16</v>
      </c>
      <c r="BA2" s="11" t="n">
        <f aca="false">R2+AL2</f>
        <v>7</v>
      </c>
    </row>
    <row r="3" customFormat="false" ht="15" hidden="false" customHeight="false" outlineLevel="0" collapsed="false">
      <c r="A3" s="10" t="s">
        <v>226</v>
      </c>
      <c r="B3" s="10" t="s">
        <v>123</v>
      </c>
      <c r="C3" s="12" t="n">
        <v>45910</v>
      </c>
      <c r="D3" s="10" t="s">
        <v>230</v>
      </c>
      <c r="E3" s="10" t="s">
        <v>130</v>
      </c>
      <c r="F3" s="10" t="s">
        <v>390</v>
      </c>
      <c r="G3" s="10" t="n">
        <v>57</v>
      </c>
      <c r="H3" s="10" t="n">
        <v>10</v>
      </c>
      <c r="I3" s="18" t="n">
        <v>13.1</v>
      </c>
      <c r="J3" s="10" t="n">
        <v>2</v>
      </c>
      <c r="K3" s="10" t="n">
        <v>0</v>
      </c>
      <c r="L3" s="10" t="n">
        <v>0</v>
      </c>
      <c r="M3" s="10" t="n">
        <v>2</v>
      </c>
      <c r="N3" s="10" t="n">
        <v>0</v>
      </c>
      <c r="O3" s="10" t="n">
        <v>41</v>
      </c>
      <c r="P3" s="10" t="s">
        <v>374</v>
      </c>
      <c r="Q3" s="10" t="n">
        <v>4</v>
      </c>
      <c r="R3" s="10" t="n">
        <v>1</v>
      </c>
      <c r="S3" s="10" t="s">
        <v>391</v>
      </c>
      <c r="T3" s="10" t="s">
        <v>392</v>
      </c>
      <c r="U3" s="10" t="s">
        <v>393</v>
      </c>
      <c r="V3" s="10" t="s">
        <v>394</v>
      </c>
      <c r="W3" s="10" t="s">
        <v>395</v>
      </c>
      <c r="X3" s="10" t="s">
        <v>396</v>
      </c>
      <c r="Y3" s="10" t="s">
        <v>397</v>
      </c>
      <c r="Z3" s="10" t="s">
        <v>398</v>
      </c>
      <c r="AA3" s="10" t="n">
        <v>60</v>
      </c>
      <c r="AB3" s="10" t="n">
        <v>1</v>
      </c>
      <c r="AC3" s="18" t="n">
        <v>4.3</v>
      </c>
      <c r="AD3" s="10" t="n">
        <v>3</v>
      </c>
      <c r="AE3" s="10" t="n">
        <v>0</v>
      </c>
      <c r="AF3" s="10" t="n">
        <v>0</v>
      </c>
      <c r="AG3" s="10" t="n">
        <v>3</v>
      </c>
      <c r="AH3" s="10" t="n">
        <v>0</v>
      </c>
      <c r="AI3" s="10" t="n">
        <v>60</v>
      </c>
      <c r="AJ3" s="10" t="s">
        <v>374</v>
      </c>
      <c r="AK3" s="10" t="n">
        <v>8</v>
      </c>
      <c r="AL3" s="10" t="n">
        <v>2</v>
      </c>
      <c r="AM3" s="10" t="s">
        <v>399</v>
      </c>
      <c r="AN3" s="10" t="s">
        <v>392</v>
      </c>
      <c r="AO3" s="10" t="s">
        <v>400</v>
      </c>
      <c r="AP3" s="10" t="s">
        <v>401</v>
      </c>
      <c r="AQ3" s="10" t="s">
        <v>402</v>
      </c>
      <c r="AR3" s="10" t="s">
        <v>403</v>
      </c>
      <c r="AS3" s="10" t="s">
        <v>404</v>
      </c>
      <c r="AT3" s="11" t="n">
        <f aca="false">4*Q3+6*R3</f>
        <v>22</v>
      </c>
      <c r="AU3" s="11" t="n">
        <f aca="false">4*AK3+6*AL3</f>
        <v>44</v>
      </c>
      <c r="AV3" s="19" t="n">
        <f aca="false">AT3/G3</f>
        <v>0.385964912280702</v>
      </c>
      <c r="AW3" s="19" t="n">
        <f aca="false">AU3/AA3</f>
        <v>0.733333333333333</v>
      </c>
      <c r="AX3" s="20" t="n">
        <f aca="false">G3/((INT(I3)*6+ROUND((I3-INT(I3))*10,0))/6)</f>
        <v>4.32911392405063</v>
      </c>
      <c r="AY3" s="20" t="n">
        <f aca="false">AA3/((INT(AC3)*6+ROUND((AC3-INT(AC3))*10,0))/6)</f>
        <v>13.3333333333333</v>
      </c>
      <c r="AZ3" s="11" t="n">
        <f aca="false">Q3+AK3</f>
        <v>12</v>
      </c>
      <c r="BA3" s="11" t="n">
        <f aca="false">R3+AL3</f>
        <v>3</v>
      </c>
    </row>
    <row r="4" customFormat="false" ht="15" hidden="false" customHeight="false" outlineLevel="0" collapsed="false">
      <c r="A4" s="10" t="s">
        <v>235</v>
      </c>
      <c r="B4" s="10" t="s">
        <v>138</v>
      </c>
      <c r="C4" s="12" t="n">
        <v>45911</v>
      </c>
      <c r="D4" s="10" t="s">
        <v>155</v>
      </c>
      <c r="E4" s="10" t="s">
        <v>144</v>
      </c>
      <c r="F4" s="10" t="s">
        <v>405</v>
      </c>
      <c r="G4" s="10" t="n">
        <v>143</v>
      </c>
      <c r="H4" s="10" t="n">
        <v>7</v>
      </c>
      <c r="I4" s="18" t="n">
        <v>20</v>
      </c>
      <c r="J4" s="10" t="n">
        <v>14</v>
      </c>
      <c r="K4" s="10" t="n">
        <v>0</v>
      </c>
      <c r="L4" s="10" t="n">
        <v>3</v>
      </c>
      <c r="M4" s="10" t="n">
        <v>9</v>
      </c>
      <c r="N4" s="10" t="n">
        <v>2</v>
      </c>
      <c r="O4" s="10" t="n">
        <v>34</v>
      </c>
      <c r="P4" s="10" t="s">
        <v>374</v>
      </c>
      <c r="Q4" s="10" t="n">
        <v>12</v>
      </c>
      <c r="R4" s="10" t="n">
        <v>3</v>
      </c>
      <c r="S4" s="10" t="s">
        <v>406</v>
      </c>
      <c r="T4" s="10" t="s">
        <v>407</v>
      </c>
      <c r="U4" s="10" t="s">
        <v>385</v>
      </c>
      <c r="V4" s="10" t="s">
        <v>408</v>
      </c>
      <c r="W4" s="10" t="s">
        <v>409</v>
      </c>
      <c r="X4" s="10" t="s">
        <v>410</v>
      </c>
      <c r="Y4" s="10" t="s">
        <v>411</v>
      </c>
      <c r="Z4" s="10" t="s">
        <v>412</v>
      </c>
      <c r="AA4" s="10" t="n">
        <v>144</v>
      </c>
      <c r="AB4" s="10" t="n">
        <v>3</v>
      </c>
      <c r="AC4" s="18" t="n">
        <v>17.4</v>
      </c>
      <c r="AD4" s="10" t="n">
        <v>17</v>
      </c>
      <c r="AE4" s="10" t="n">
        <v>4</v>
      </c>
      <c r="AF4" s="10" t="n">
        <v>2</v>
      </c>
      <c r="AG4" s="10" t="n">
        <v>9</v>
      </c>
      <c r="AH4" s="10" t="n">
        <v>2</v>
      </c>
      <c r="AI4" s="10" t="n">
        <v>51</v>
      </c>
      <c r="AJ4" s="10" t="s">
        <v>374</v>
      </c>
      <c r="AK4" s="10" t="n">
        <v>15</v>
      </c>
      <c r="AL4" s="10" t="n">
        <v>4</v>
      </c>
      <c r="AM4" s="10" t="s">
        <v>413</v>
      </c>
      <c r="AN4" s="10" t="s">
        <v>414</v>
      </c>
      <c r="AO4" s="10" t="s">
        <v>415</v>
      </c>
      <c r="AP4" s="10" t="s">
        <v>416</v>
      </c>
      <c r="AQ4" s="10" t="s">
        <v>417</v>
      </c>
      <c r="AR4" s="10" t="s">
        <v>418</v>
      </c>
      <c r="AS4" s="10" t="s">
        <v>419</v>
      </c>
      <c r="AT4" s="11" t="n">
        <f aca="false">4*Q4+6*R4</f>
        <v>66</v>
      </c>
      <c r="AU4" s="11" t="n">
        <f aca="false">4*AK4+6*AL4</f>
        <v>84</v>
      </c>
      <c r="AV4" s="19" t="n">
        <f aca="false">AT4/G4</f>
        <v>0.461538461538462</v>
      </c>
      <c r="AW4" s="19" t="n">
        <f aca="false">AU4/AA4</f>
        <v>0.583333333333333</v>
      </c>
      <c r="AX4" s="20" t="n">
        <f aca="false">G4/((INT(I4)*6+ROUND((I4-INT(I4))*10,0))/6)</f>
        <v>7.15</v>
      </c>
      <c r="AY4" s="20" t="n">
        <f aca="false">AA4/((INT(AC4)*6+ROUND((AC4-INT(AC4))*10,0))/6)</f>
        <v>8.15094339622642</v>
      </c>
      <c r="AZ4" s="11" t="n">
        <f aca="false">Q4+AK4</f>
        <v>27</v>
      </c>
      <c r="BA4" s="11" t="n">
        <f aca="false">R4+AL4</f>
        <v>7</v>
      </c>
    </row>
    <row r="5" customFormat="false" ht="15" hidden="false" customHeight="false" outlineLevel="0" collapsed="false">
      <c r="A5" s="10" t="s">
        <v>242</v>
      </c>
      <c r="B5" s="10" t="s">
        <v>149</v>
      </c>
      <c r="C5" s="12" t="n">
        <v>45912</v>
      </c>
      <c r="D5" s="10" t="s">
        <v>129</v>
      </c>
      <c r="E5" s="10" t="s">
        <v>244</v>
      </c>
      <c r="F5" s="10" t="s">
        <v>420</v>
      </c>
      <c r="G5" s="10" t="n">
        <v>160</v>
      </c>
      <c r="H5" s="10" t="n">
        <v>7</v>
      </c>
      <c r="I5" s="18" t="n">
        <v>20</v>
      </c>
      <c r="J5" s="10" t="n">
        <v>4</v>
      </c>
      <c r="K5" s="10" t="n">
        <v>0</v>
      </c>
      <c r="L5" s="10" t="n">
        <v>0</v>
      </c>
      <c r="M5" s="10" t="n">
        <v>4</v>
      </c>
      <c r="N5" s="10" t="n">
        <v>0</v>
      </c>
      <c r="O5" s="10" t="n">
        <v>47</v>
      </c>
      <c r="P5" s="10" t="s">
        <v>374</v>
      </c>
      <c r="Q5" s="10" t="n">
        <v>15</v>
      </c>
      <c r="R5" s="10" t="n">
        <v>6</v>
      </c>
      <c r="S5" s="10" t="s">
        <v>421</v>
      </c>
      <c r="T5" s="10" t="s">
        <v>422</v>
      </c>
      <c r="U5" s="10" t="s">
        <v>423</v>
      </c>
      <c r="V5" s="10" t="s">
        <v>424</v>
      </c>
      <c r="W5" s="10" t="s">
        <v>425</v>
      </c>
      <c r="X5" s="10" t="s">
        <v>426</v>
      </c>
      <c r="Y5" s="10" t="s">
        <v>427</v>
      </c>
      <c r="Z5" s="10" t="s">
        <v>428</v>
      </c>
      <c r="AA5" s="10" t="n">
        <v>67</v>
      </c>
      <c r="AB5" s="10" t="n">
        <v>10</v>
      </c>
      <c r="AC5" s="18" t="n">
        <v>16.4</v>
      </c>
      <c r="AD5" s="10" t="n">
        <v>3</v>
      </c>
      <c r="AE5" s="10" t="n">
        <v>0</v>
      </c>
      <c r="AF5" s="10" t="n">
        <v>1</v>
      </c>
      <c r="AG5" s="10" t="n">
        <v>2</v>
      </c>
      <c r="AH5" s="10" t="n">
        <v>0</v>
      </c>
      <c r="AI5" s="10" t="n">
        <v>40</v>
      </c>
      <c r="AJ5" s="10" t="s">
        <v>374</v>
      </c>
      <c r="AK5" s="10" t="n">
        <v>5</v>
      </c>
      <c r="AL5" s="10" t="n">
        <v>1</v>
      </c>
      <c r="AM5" s="10" t="s">
        <v>429</v>
      </c>
      <c r="AN5" s="10" t="s">
        <v>430</v>
      </c>
      <c r="AO5" s="10" t="s">
        <v>431</v>
      </c>
      <c r="AP5" s="10" t="s">
        <v>432</v>
      </c>
      <c r="AQ5" s="10" t="s">
        <v>433</v>
      </c>
      <c r="AR5" s="10" t="s">
        <v>434</v>
      </c>
      <c r="AS5" s="10" t="s">
        <v>435</v>
      </c>
      <c r="AT5" s="11" t="n">
        <f aca="false">4*Q5+6*R5</f>
        <v>96</v>
      </c>
      <c r="AU5" s="11" t="n">
        <f aca="false">4*AK5+6*AL5</f>
        <v>26</v>
      </c>
      <c r="AV5" s="19" t="n">
        <f aca="false">AT5/G5</f>
        <v>0.6</v>
      </c>
      <c r="AW5" s="19" t="n">
        <f aca="false">AU5/AA5</f>
        <v>0.388059701492537</v>
      </c>
      <c r="AX5" s="20" t="n">
        <f aca="false">G5/((INT(I5)*6+ROUND((I5-INT(I5))*10,0))/6)</f>
        <v>8</v>
      </c>
      <c r="AY5" s="20" t="n">
        <f aca="false">AA5/((INT(AC5)*6+ROUND((AC5-INT(AC5))*10,0))/6)</f>
        <v>4.02</v>
      </c>
      <c r="AZ5" s="11" t="n">
        <f aca="false">Q5+AK5</f>
        <v>20</v>
      </c>
      <c r="BA5" s="11" t="n">
        <f aca="false">R5+AL5</f>
        <v>7</v>
      </c>
    </row>
    <row r="6" customFormat="false" ht="15" hidden="false" customHeight="false" outlineLevel="0" collapsed="false">
      <c r="A6" s="10" t="s">
        <v>248</v>
      </c>
      <c r="B6" s="10" t="s">
        <v>160</v>
      </c>
      <c r="C6" s="12" t="n">
        <v>45913</v>
      </c>
      <c r="D6" s="10" t="s">
        <v>144</v>
      </c>
      <c r="E6" s="10" t="s">
        <v>111</v>
      </c>
      <c r="F6" s="10" t="s">
        <v>436</v>
      </c>
      <c r="G6" s="10" t="n">
        <v>139</v>
      </c>
      <c r="H6" s="10" t="n">
        <v>5</v>
      </c>
      <c r="I6" s="18" t="n">
        <v>20</v>
      </c>
      <c r="J6" s="10" t="n">
        <v>11</v>
      </c>
      <c r="K6" s="10" t="n">
        <v>2</v>
      </c>
      <c r="L6" s="10" t="n">
        <v>3</v>
      </c>
      <c r="M6" s="10" t="n">
        <v>6</v>
      </c>
      <c r="N6" s="10" t="n">
        <v>0</v>
      </c>
      <c r="O6" s="10" t="n">
        <v>30</v>
      </c>
      <c r="P6" s="10" t="s">
        <v>374</v>
      </c>
      <c r="Q6" s="10" t="n">
        <v>10</v>
      </c>
      <c r="R6" s="10" t="n">
        <v>3</v>
      </c>
      <c r="S6" s="10" t="s">
        <v>437</v>
      </c>
      <c r="T6" s="10" t="s">
        <v>438</v>
      </c>
      <c r="U6" s="10" t="s">
        <v>415</v>
      </c>
      <c r="V6" s="10" t="s">
        <v>439</v>
      </c>
      <c r="W6" s="10" t="s">
        <v>440</v>
      </c>
      <c r="X6" s="10" t="s">
        <v>441</v>
      </c>
      <c r="Y6" s="10" t="s">
        <v>442</v>
      </c>
      <c r="Z6" s="10" t="s">
        <v>443</v>
      </c>
      <c r="AA6" s="10" t="n">
        <v>140</v>
      </c>
      <c r="AB6" s="10" t="n">
        <v>4</v>
      </c>
      <c r="AC6" s="18" t="n">
        <v>14.4</v>
      </c>
      <c r="AD6" s="10" t="n">
        <v>21</v>
      </c>
      <c r="AE6" s="10" t="n">
        <v>0</v>
      </c>
      <c r="AF6" s="10" t="n">
        <v>5</v>
      </c>
      <c r="AG6" s="10" t="n">
        <v>16</v>
      </c>
      <c r="AH6" s="10" t="n">
        <v>0</v>
      </c>
      <c r="AI6" s="10" t="n">
        <v>55</v>
      </c>
      <c r="AJ6" s="10" t="s">
        <v>374</v>
      </c>
      <c r="AK6" s="10" t="n">
        <v>15</v>
      </c>
      <c r="AL6" s="10" t="n">
        <v>5</v>
      </c>
      <c r="AM6" s="10" t="s">
        <v>444</v>
      </c>
      <c r="AN6" s="10" t="s">
        <v>445</v>
      </c>
      <c r="AO6" s="10" t="s">
        <v>446</v>
      </c>
      <c r="AP6" s="10" t="s">
        <v>447</v>
      </c>
      <c r="AQ6" s="10" t="s">
        <v>448</v>
      </c>
      <c r="AR6" s="10" t="s">
        <v>449</v>
      </c>
      <c r="AS6" s="10" t="s">
        <v>450</v>
      </c>
      <c r="AT6" s="11" t="n">
        <f aca="false">4*Q6+6*R6</f>
        <v>58</v>
      </c>
      <c r="AU6" s="11" t="n">
        <f aca="false">4*AK6+6*AL6</f>
        <v>90</v>
      </c>
      <c r="AV6" s="19" t="n">
        <f aca="false">AT6/G6</f>
        <v>0.41726618705036</v>
      </c>
      <c r="AW6" s="19" t="n">
        <f aca="false">AU6/AA6</f>
        <v>0.642857142857143</v>
      </c>
      <c r="AX6" s="20" t="n">
        <f aca="false">G6/((INT(I6)*6+ROUND((I6-INT(I6))*10,0))/6)</f>
        <v>6.95</v>
      </c>
      <c r="AY6" s="20" t="n">
        <f aca="false">AA6/((INT(AC6)*6+ROUND((AC6-INT(AC6))*10,0))/6)</f>
        <v>9.54545454545455</v>
      </c>
      <c r="AZ6" s="11" t="n">
        <f aca="false">Q6+AK6</f>
        <v>25</v>
      </c>
      <c r="BA6" s="11" t="n">
        <f aca="false">R6+AL6</f>
        <v>8</v>
      </c>
    </row>
    <row r="7" customFormat="false" ht="15" hidden="false" customHeight="false" outlineLevel="0" collapsed="false">
      <c r="A7" s="10" t="s">
        <v>252</v>
      </c>
      <c r="B7" s="10" t="s">
        <v>167</v>
      </c>
      <c r="C7" s="12" t="n">
        <v>45914</v>
      </c>
      <c r="D7" s="10" t="s">
        <v>129</v>
      </c>
      <c r="E7" s="10" t="s">
        <v>130</v>
      </c>
      <c r="F7" s="10" t="s">
        <v>451</v>
      </c>
      <c r="G7" s="10" t="n">
        <v>127</v>
      </c>
      <c r="H7" s="10" t="n">
        <v>9</v>
      </c>
      <c r="I7" s="18" t="n">
        <v>20</v>
      </c>
      <c r="J7" s="10" t="n">
        <v>5</v>
      </c>
      <c r="K7" s="10" t="n">
        <v>0</v>
      </c>
      <c r="L7" s="10" t="n">
        <v>0</v>
      </c>
      <c r="M7" s="10" t="n">
        <v>4</v>
      </c>
      <c r="N7" s="10" t="n">
        <v>1</v>
      </c>
      <c r="O7" s="10" t="n">
        <v>42</v>
      </c>
      <c r="P7" s="10" t="s">
        <v>374</v>
      </c>
      <c r="Q7" s="10" t="n">
        <v>8</v>
      </c>
      <c r="R7" s="10" t="n">
        <v>3</v>
      </c>
      <c r="S7" s="10" t="s">
        <v>452</v>
      </c>
      <c r="T7" s="10" t="s">
        <v>453</v>
      </c>
      <c r="U7" s="10" t="s">
        <v>423</v>
      </c>
      <c r="V7" s="10" t="s">
        <v>454</v>
      </c>
      <c r="W7" s="10" t="s">
        <v>455</v>
      </c>
      <c r="X7" s="10" t="s">
        <v>456</v>
      </c>
      <c r="Y7" s="10" t="s">
        <v>457</v>
      </c>
      <c r="Z7" s="10" t="s">
        <v>458</v>
      </c>
      <c r="AA7" s="10" t="n">
        <v>131</v>
      </c>
      <c r="AB7" s="10" t="n">
        <v>3</v>
      </c>
      <c r="AC7" s="18" t="n">
        <v>15.5</v>
      </c>
      <c r="AD7" s="10" t="n">
        <v>2</v>
      </c>
      <c r="AE7" s="10" t="n">
        <v>0</v>
      </c>
      <c r="AF7" s="10" t="n">
        <v>1</v>
      </c>
      <c r="AG7" s="10" t="n">
        <v>1</v>
      </c>
      <c r="AH7" s="10" t="n">
        <v>0</v>
      </c>
      <c r="AI7" s="10" t="n">
        <v>61</v>
      </c>
      <c r="AJ7" s="10" t="s">
        <v>374</v>
      </c>
      <c r="AK7" s="10" t="n">
        <v>12</v>
      </c>
      <c r="AL7" s="10" t="n">
        <v>6</v>
      </c>
      <c r="AM7" s="10" t="s">
        <v>459</v>
      </c>
      <c r="AN7" s="10" t="s">
        <v>460</v>
      </c>
      <c r="AO7" s="10" t="s">
        <v>400</v>
      </c>
      <c r="AP7" s="10" t="s">
        <v>401</v>
      </c>
      <c r="AQ7" s="10" t="s">
        <v>461</v>
      </c>
      <c r="AR7" s="10" t="s">
        <v>462</v>
      </c>
      <c r="AS7" s="10" t="s">
        <v>463</v>
      </c>
      <c r="AT7" s="11" t="n">
        <f aca="false">4*Q7+6*R7</f>
        <v>50</v>
      </c>
      <c r="AU7" s="11" t="n">
        <f aca="false">4*AK7+6*AL7</f>
        <v>84</v>
      </c>
      <c r="AV7" s="19" t="n">
        <f aca="false">AT7/G7</f>
        <v>0.393700787401575</v>
      </c>
      <c r="AW7" s="19" t="n">
        <f aca="false">AU7/AA7</f>
        <v>0.641221374045802</v>
      </c>
      <c r="AX7" s="20" t="n">
        <f aca="false">G7/((INT(I7)*6+ROUND((I7-INT(I7))*10,0))/6)</f>
        <v>6.35</v>
      </c>
      <c r="AY7" s="20" t="n">
        <f aca="false">AA7/((INT(AC7)*6+ROUND((AC7-INT(AC7))*10,0))/6)</f>
        <v>8.27368421052632</v>
      </c>
      <c r="AZ7" s="11" t="n">
        <f aca="false">Q7+AK7</f>
        <v>20</v>
      </c>
      <c r="BA7" s="11" t="n">
        <f aca="false">R7+AL7</f>
        <v>9</v>
      </c>
    </row>
    <row r="8" customFormat="false" ht="15" hidden="false" customHeight="false" outlineLevel="0" collapsed="false">
      <c r="A8" s="10" t="s">
        <v>256</v>
      </c>
      <c r="B8" s="10" t="s">
        <v>257</v>
      </c>
      <c r="C8" s="12" t="n">
        <v>45915</v>
      </c>
      <c r="D8" s="10" t="s">
        <v>230</v>
      </c>
      <c r="E8" s="10" t="s">
        <v>244</v>
      </c>
      <c r="F8" s="10" t="s">
        <v>464</v>
      </c>
      <c r="G8" s="10" t="n">
        <v>172</v>
      </c>
      <c r="H8" s="10" t="n">
        <v>5</v>
      </c>
      <c r="I8" s="18" t="n">
        <v>20</v>
      </c>
      <c r="J8" s="10" t="n">
        <v>9</v>
      </c>
      <c r="K8" s="10" t="n">
        <v>0</v>
      </c>
      <c r="L8" s="10" t="n">
        <v>1</v>
      </c>
      <c r="M8" s="10" t="n">
        <v>8</v>
      </c>
      <c r="N8" s="10" t="n">
        <v>0</v>
      </c>
      <c r="O8" s="10" t="n">
        <v>50</v>
      </c>
      <c r="P8" s="10" t="s">
        <v>374</v>
      </c>
      <c r="Q8" s="10" t="n">
        <v>15</v>
      </c>
      <c r="R8" s="10" t="n">
        <v>7</v>
      </c>
      <c r="S8" s="10" t="s">
        <v>465</v>
      </c>
      <c r="T8" s="10" t="s">
        <v>466</v>
      </c>
      <c r="U8" s="10" t="s">
        <v>393</v>
      </c>
      <c r="V8" s="10" t="s">
        <v>467</v>
      </c>
      <c r="W8" s="10" t="s">
        <v>468</v>
      </c>
      <c r="X8" s="10" t="s">
        <v>469</v>
      </c>
      <c r="Y8" s="10" t="s">
        <v>470</v>
      </c>
      <c r="Z8" s="10" t="s">
        <v>471</v>
      </c>
      <c r="AA8" s="10" t="n">
        <v>130</v>
      </c>
      <c r="AB8" s="10" t="n">
        <v>10</v>
      </c>
      <c r="AC8" s="18" t="n">
        <v>18.4</v>
      </c>
      <c r="AD8" s="10" t="n">
        <v>16</v>
      </c>
      <c r="AE8" s="10" t="n">
        <v>0</v>
      </c>
      <c r="AF8" s="10" t="n">
        <v>3</v>
      </c>
      <c r="AG8" s="10" t="n">
        <v>13</v>
      </c>
      <c r="AH8" s="10" t="n">
        <v>0</v>
      </c>
      <c r="AI8" s="10" t="n">
        <v>41</v>
      </c>
      <c r="AJ8" s="10" t="s">
        <v>374</v>
      </c>
      <c r="AK8" s="10" t="n">
        <v>10</v>
      </c>
      <c r="AL8" s="10" t="n">
        <v>4</v>
      </c>
      <c r="AM8" s="10" t="s">
        <v>472</v>
      </c>
      <c r="AN8" s="10" t="s">
        <v>473</v>
      </c>
      <c r="AO8" s="10" t="s">
        <v>431</v>
      </c>
      <c r="AP8" s="10" t="s">
        <v>474</v>
      </c>
      <c r="AQ8" s="10" t="s">
        <v>475</v>
      </c>
      <c r="AR8" s="10" t="s">
        <v>476</v>
      </c>
      <c r="AS8" s="10" t="s">
        <v>477</v>
      </c>
      <c r="AT8" s="11" t="n">
        <f aca="false">4*Q8+6*R8</f>
        <v>102</v>
      </c>
      <c r="AU8" s="11" t="n">
        <f aca="false">4*AK8+6*AL8</f>
        <v>64</v>
      </c>
      <c r="AV8" s="19" t="n">
        <f aca="false">AT8/G8</f>
        <v>0.593023255813954</v>
      </c>
      <c r="AW8" s="19" t="n">
        <f aca="false">AU8/AA8</f>
        <v>0.492307692307692</v>
      </c>
      <c r="AX8" s="20" t="n">
        <f aca="false">G8/((INT(I8)*6+ROUND((I8-INT(I8))*10,0))/6)</f>
        <v>8.6</v>
      </c>
      <c r="AY8" s="20" t="n">
        <f aca="false">AA8/((INT(AC8)*6+ROUND((AC8-INT(AC8))*10,0))/6)</f>
        <v>6.96428571428571</v>
      </c>
      <c r="AZ8" s="11" t="n">
        <f aca="false">Q8+AK8</f>
        <v>25</v>
      </c>
      <c r="BA8" s="11" t="n">
        <f aca="false">R8+AL8</f>
        <v>11</v>
      </c>
    </row>
    <row r="9" customFormat="false" ht="15" hidden="false" customHeight="false" outlineLevel="0" collapsed="false">
      <c r="A9" s="10" t="s">
        <v>264</v>
      </c>
      <c r="B9" s="10" t="s">
        <v>265</v>
      </c>
      <c r="C9" s="12" t="n">
        <v>45915</v>
      </c>
      <c r="D9" s="10" t="s">
        <v>155</v>
      </c>
      <c r="E9" s="10" t="s">
        <v>111</v>
      </c>
      <c r="F9" s="10" t="s">
        <v>478</v>
      </c>
      <c r="G9" s="10" t="n">
        <v>149</v>
      </c>
      <c r="H9" s="10" t="n">
        <v>4</v>
      </c>
      <c r="I9" s="18" t="n">
        <v>20</v>
      </c>
      <c r="J9" s="10" t="n">
        <v>13</v>
      </c>
      <c r="K9" s="10" t="n">
        <v>1</v>
      </c>
      <c r="L9" s="10" t="n">
        <v>7</v>
      </c>
      <c r="M9" s="10" t="n">
        <v>4</v>
      </c>
      <c r="N9" s="10" t="n">
        <v>1</v>
      </c>
      <c r="O9" s="10" t="n">
        <v>42</v>
      </c>
      <c r="P9" s="10" t="s">
        <v>374</v>
      </c>
      <c r="Q9" s="10" t="n">
        <v>14</v>
      </c>
      <c r="R9" s="10" t="n">
        <v>3</v>
      </c>
      <c r="S9" s="10" t="s">
        <v>479</v>
      </c>
      <c r="T9" s="10" t="s">
        <v>480</v>
      </c>
      <c r="U9" s="10" t="s">
        <v>385</v>
      </c>
      <c r="V9" s="10" t="s">
        <v>481</v>
      </c>
      <c r="W9" s="10" t="s">
        <v>482</v>
      </c>
      <c r="X9" s="10" t="s">
        <v>483</v>
      </c>
      <c r="Y9" s="10" t="s">
        <v>484</v>
      </c>
      <c r="Z9" s="10" t="s">
        <v>485</v>
      </c>
      <c r="AA9" s="10" t="n">
        <v>153</v>
      </c>
      <c r="AB9" s="10" t="n">
        <v>6</v>
      </c>
      <c r="AC9" s="18" t="n">
        <v>18.5</v>
      </c>
      <c r="AD9" s="10" t="n">
        <v>2</v>
      </c>
      <c r="AE9" s="10" t="n">
        <v>0</v>
      </c>
      <c r="AF9" s="10" t="n">
        <v>1</v>
      </c>
      <c r="AG9" s="10" t="n">
        <v>0</v>
      </c>
      <c r="AH9" s="10" t="n">
        <v>1</v>
      </c>
      <c r="AI9" s="10" t="n">
        <v>35</v>
      </c>
      <c r="AJ9" s="10" t="s">
        <v>374</v>
      </c>
      <c r="AK9" s="10" t="n">
        <v>16</v>
      </c>
      <c r="AL9" s="10" t="n">
        <v>5</v>
      </c>
      <c r="AM9" s="10" t="s">
        <v>486</v>
      </c>
      <c r="AN9" s="10" t="s">
        <v>487</v>
      </c>
      <c r="AO9" s="10" t="s">
        <v>446</v>
      </c>
      <c r="AP9" s="10" t="s">
        <v>488</v>
      </c>
      <c r="AQ9" s="10" t="s">
        <v>489</v>
      </c>
      <c r="AR9" s="10" t="s">
        <v>490</v>
      </c>
      <c r="AS9" s="10" t="s">
        <v>491</v>
      </c>
      <c r="AT9" s="11" t="n">
        <f aca="false">4*Q9+6*R9</f>
        <v>74</v>
      </c>
      <c r="AU9" s="11" t="n">
        <f aca="false">4*AK9+6*AL9</f>
        <v>94</v>
      </c>
      <c r="AV9" s="19" t="n">
        <f aca="false">AT9/G9</f>
        <v>0.496644295302013</v>
      </c>
      <c r="AW9" s="19" t="n">
        <f aca="false">AU9/AA9</f>
        <v>0.61437908496732</v>
      </c>
      <c r="AX9" s="20" t="n">
        <f aca="false">G9/((INT(I9)*6+ROUND((I9-INT(I9))*10,0))/6)</f>
        <v>7.45</v>
      </c>
      <c r="AY9" s="20" t="n">
        <f aca="false">AA9/((INT(AC9)*6+ROUND((AC9-INT(AC9))*10,0))/6)</f>
        <v>8.12389380530973</v>
      </c>
      <c r="AZ9" s="11" t="n">
        <f aca="false">Q9+AK9</f>
        <v>30</v>
      </c>
      <c r="BA9" s="11" t="n">
        <f aca="false">R9+AL9</f>
        <v>8</v>
      </c>
    </row>
    <row r="10" customFormat="false" ht="15" hidden="false" customHeight="false" outlineLevel="0" collapsed="false">
      <c r="A10" s="10" t="s">
        <v>269</v>
      </c>
      <c r="B10" s="10" t="s">
        <v>270</v>
      </c>
      <c r="C10" s="12" t="n">
        <v>45916</v>
      </c>
      <c r="D10" s="10" t="s">
        <v>144</v>
      </c>
      <c r="E10" s="10" t="s">
        <v>112</v>
      </c>
      <c r="F10" s="10" t="s">
        <v>492</v>
      </c>
      <c r="G10" s="10" t="n">
        <v>154</v>
      </c>
      <c r="H10" s="10" t="n">
        <v>5</v>
      </c>
      <c r="I10" s="18" t="n">
        <v>20</v>
      </c>
      <c r="J10" s="10" t="n">
        <v>2</v>
      </c>
      <c r="K10" s="10" t="n">
        <v>0</v>
      </c>
      <c r="L10" s="10" t="n">
        <v>0</v>
      </c>
      <c r="M10" s="10" t="n">
        <v>2</v>
      </c>
      <c r="N10" s="10" t="n">
        <v>0</v>
      </c>
      <c r="O10" s="10" t="n">
        <v>59</v>
      </c>
      <c r="P10" s="10" t="s">
        <v>374</v>
      </c>
      <c r="Q10" s="10" t="n">
        <v>14</v>
      </c>
      <c r="R10" s="10" t="n">
        <v>5</v>
      </c>
      <c r="S10" s="10" t="s">
        <v>493</v>
      </c>
      <c r="T10" s="10" t="s">
        <v>494</v>
      </c>
      <c r="U10" s="10" t="s">
        <v>415</v>
      </c>
      <c r="V10" s="10" t="s">
        <v>495</v>
      </c>
      <c r="W10" s="10" t="s">
        <v>496</v>
      </c>
      <c r="X10" s="10" t="s">
        <v>497</v>
      </c>
      <c r="Y10" s="10" t="s">
        <v>498</v>
      </c>
      <c r="Z10" s="10" t="s">
        <v>499</v>
      </c>
      <c r="AA10" s="10" t="n">
        <v>146</v>
      </c>
      <c r="AB10" s="10" t="n">
        <v>10</v>
      </c>
      <c r="AC10" s="18" t="n">
        <v>20</v>
      </c>
      <c r="AD10" s="10" t="n">
        <v>3</v>
      </c>
      <c r="AE10" s="10" t="n">
        <v>0</v>
      </c>
      <c r="AF10" s="10" t="n">
        <v>0</v>
      </c>
      <c r="AG10" s="10" t="n">
        <v>2</v>
      </c>
      <c r="AH10" s="10" t="n">
        <v>1</v>
      </c>
      <c r="AI10" s="10" t="n">
        <v>27</v>
      </c>
      <c r="AJ10" s="10" t="s">
        <v>374</v>
      </c>
      <c r="AK10" s="10" t="n">
        <v>12</v>
      </c>
      <c r="AL10" s="10" t="n">
        <v>4</v>
      </c>
      <c r="AM10" s="10" t="s">
        <v>500</v>
      </c>
      <c r="AN10" s="10" t="s">
        <v>501</v>
      </c>
      <c r="AO10" s="10" t="s">
        <v>377</v>
      </c>
      <c r="AP10" s="10" t="s">
        <v>502</v>
      </c>
      <c r="AQ10" s="10" t="s">
        <v>503</v>
      </c>
      <c r="AR10" s="10" t="s">
        <v>504</v>
      </c>
      <c r="AS10" s="10" t="s">
        <v>505</v>
      </c>
      <c r="AT10" s="11" t="n">
        <f aca="false">4*Q10+6*R10</f>
        <v>86</v>
      </c>
      <c r="AU10" s="11" t="n">
        <f aca="false">4*AK10+6*AL10</f>
        <v>72</v>
      </c>
      <c r="AV10" s="19" t="n">
        <f aca="false">AT10/G10</f>
        <v>0.558441558441558</v>
      </c>
      <c r="AW10" s="19" t="n">
        <f aca="false">AU10/AA10</f>
        <v>0.493150684931507</v>
      </c>
      <c r="AX10" s="20" t="n">
        <f aca="false">G10/((INT(I10)*6+ROUND((I10-INT(I10))*10,0))/6)</f>
        <v>7.7</v>
      </c>
      <c r="AY10" s="20" t="n">
        <f aca="false">AA10/((INT(AC10)*6+ROUND((AC10-INT(AC10))*10,0))/6)</f>
        <v>7.3</v>
      </c>
      <c r="AZ10" s="11" t="n">
        <f aca="false">Q10+AK10</f>
        <v>26</v>
      </c>
      <c r="BA10" s="11" t="n">
        <f aca="false">R10+AL10</f>
        <v>9</v>
      </c>
    </row>
    <row r="11" customFormat="false" ht="15" hidden="false" customHeight="false" outlineLevel="0" collapsed="false">
      <c r="A11" s="10" t="s">
        <v>275</v>
      </c>
      <c r="B11" s="10" t="s">
        <v>276</v>
      </c>
      <c r="C11" s="12" t="n">
        <v>45917</v>
      </c>
      <c r="D11" s="10" t="s">
        <v>129</v>
      </c>
      <c r="E11" s="10" t="s">
        <v>230</v>
      </c>
      <c r="F11" s="10" t="s">
        <v>506</v>
      </c>
      <c r="G11" s="10" t="n">
        <v>146</v>
      </c>
      <c r="H11" s="10" t="n">
        <v>9</v>
      </c>
      <c r="I11" s="18" t="n">
        <v>20</v>
      </c>
      <c r="J11" s="10" t="n">
        <v>13</v>
      </c>
      <c r="K11" s="10" t="n">
        <v>0</v>
      </c>
      <c r="L11" s="10" t="n">
        <v>5</v>
      </c>
      <c r="M11" s="10" t="n">
        <v>7</v>
      </c>
      <c r="N11" s="10" t="n">
        <v>1</v>
      </c>
      <c r="O11" s="10" t="n">
        <v>39</v>
      </c>
      <c r="P11" s="10" t="s">
        <v>374</v>
      </c>
      <c r="Q11" s="10" t="n">
        <v>12</v>
      </c>
      <c r="R11" s="10" t="n">
        <v>5</v>
      </c>
      <c r="S11" s="10" t="s">
        <v>507</v>
      </c>
      <c r="T11" s="10" t="s">
        <v>508</v>
      </c>
      <c r="U11" s="10" t="s">
        <v>423</v>
      </c>
      <c r="V11" s="10" t="s">
        <v>509</v>
      </c>
      <c r="W11" s="10" t="s">
        <v>510</v>
      </c>
      <c r="X11" s="10" t="s">
        <v>511</v>
      </c>
      <c r="Y11" s="10" t="s">
        <v>512</v>
      </c>
      <c r="Z11" s="10" t="s">
        <v>513</v>
      </c>
      <c r="AA11" s="10" t="n">
        <v>105</v>
      </c>
      <c r="AB11" s="10" t="n">
        <v>10</v>
      </c>
      <c r="AC11" s="18" t="n">
        <v>17.4</v>
      </c>
      <c r="AD11" s="10" t="n">
        <v>11</v>
      </c>
      <c r="AE11" s="10" t="n">
        <v>0</v>
      </c>
      <c r="AF11" s="10" t="n">
        <v>3</v>
      </c>
      <c r="AG11" s="10" t="n">
        <v>8</v>
      </c>
      <c r="AH11" s="10" t="n">
        <v>0</v>
      </c>
      <c r="AI11" s="10" t="n">
        <v>38</v>
      </c>
      <c r="AJ11" s="10" t="s">
        <v>374</v>
      </c>
      <c r="AK11" s="10" t="n">
        <v>9</v>
      </c>
      <c r="AL11" s="10" t="n">
        <v>2</v>
      </c>
      <c r="AM11" s="10" t="s">
        <v>514</v>
      </c>
      <c r="AN11" s="10" t="s">
        <v>515</v>
      </c>
      <c r="AO11" s="10" t="s">
        <v>393</v>
      </c>
      <c r="AP11" s="10" t="s">
        <v>516</v>
      </c>
      <c r="AQ11" s="10" t="s">
        <v>517</v>
      </c>
      <c r="AR11" s="10" t="s">
        <v>518</v>
      </c>
      <c r="AS11" s="10" t="s">
        <v>519</v>
      </c>
      <c r="AT11" s="11" t="n">
        <f aca="false">4*Q11+6*R11</f>
        <v>78</v>
      </c>
      <c r="AU11" s="11" t="n">
        <f aca="false">4*AK11+6*AL11</f>
        <v>48</v>
      </c>
      <c r="AV11" s="19" t="n">
        <f aca="false">AT11/G11</f>
        <v>0.534246575342466</v>
      </c>
      <c r="AW11" s="19" t="n">
        <f aca="false">AU11/AA11</f>
        <v>0.457142857142857</v>
      </c>
      <c r="AX11" s="20" t="n">
        <f aca="false">G11/((INT(I11)*6+ROUND((I11-INT(I11))*10,0))/6)</f>
        <v>7.3</v>
      </c>
      <c r="AY11" s="20" t="n">
        <f aca="false">AA11/((INT(AC11)*6+ROUND((AC11-INT(AC11))*10,0))/6)</f>
        <v>5.94339622641509</v>
      </c>
      <c r="AZ11" s="11" t="n">
        <f aca="false">Q11+AK11</f>
        <v>21</v>
      </c>
      <c r="BA11" s="11" t="n">
        <f aca="false">R11+AL11</f>
        <v>7</v>
      </c>
    </row>
    <row r="12" customFormat="false" ht="15" hidden="false" customHeight="false" outlineLevel="0" collapsed="false">
      <c r="A12" s="10" t="s">
        <v>281</v>
      </c>
      <c r="B12" s="10" t="s">
        <v>282</v>
      </c>
      <c r="C12" s="12" t="n">
        <v>45918</v>
      </c>
      <c r="D12" s="10" t="s">
        <v>112</v>
      </c>
      <c r="E12" s="10" t="s">
        <v>111</v>
      </c>
      <c r="F12" s="10" t="s">
        <v>520</v>
      </c>
      <c r="G12" s="10" t="n">
        <v>169</v>
      </c>
      <c r="H12" s="10" t="n">
        <v>8</v>
      </c>
      <c r="I12" s="18" t="n">
        <v>20</v>
      </c>
      <c r="J12" s="10" t="n">
        <v>7</v>
      </c>
      <c r="K12" s="10" t="n">
        <v>0</v>
      </c>
      <c r="L12" s="10" t="n">
        <v>5</v>
      </c>
      <c r="M12" s="10" t="n">
        <v>1</v>
      </c>
      <c r="N12" s="10" t="n">
        <v>1</v>
      </c>
      <c r="O12" s="10" t="n">
        <v>45</v>
      </c>
      <c r="P12" s="10" t="s">
        <v>374</v>
      </c>
      <c r="Q12" s="10" t="n">
        <v>14</v>
      </c>
      <c r="R12" s="10" t="n">
        <v>6</v>
      </c>
      <c r="S12" s="10" t="s">
        <v>521</v>
      </c>
      <c r="T12" s="10" t="s">
        <v>522</v>
      </c>
      <c r="U12" s="10" t="s">
        <v>377</v>
      </c>
      <c r="V12" s="10" t="s">
        <v>523</v>
      </c>
      <c r="W12" s="10" t="s">
        <v>524</v>
      </c>
      <c r="X12" s="10" t="s">
        <v>525</v>
      </c>
      <c r="Y12" s="10" t="s">
        <v>526</v>
      </c>
      <c r="Z12" s="10" t="s">
        <v>527</v>
      </c>
      <c r="AA12" s="10" t="n">
        <v>171</v>
      </c>
      <c r="AB12" s="10" t="n">
        <v>4</v>
      </c>
      <c r="AC12" s="18" t="n">
        <v>18.4</v>
      </c>
      <c r="AD12" s="10" t="n">
        <v>16</v>
      </c>
      <c r="AE12" s="10" t="n">
        <v>0</v>
      </c>
      <c r="AF12" s="10" t="n">
        <v>1</v>
      </c>
      <c r="AG12" s="10" t="n">
        <v>15</v>
      </c>
      <c r="AH12" s="10" t="n">
        <v>0</v>
      </c>
      <c r="AI12" s="10" t="n">
        <v>53</v>
      </c>
      <c r="AJ12" s="10" t="s">
        <v>374</v>
      </c>
      <c r="AK12" s="10" t="n">
        <v>16</v>
      </c>
      <c r="AL12" s="10" t="n">
        <v>5</v>
      </c>
      <c r="AM12" s="10" t="s">
        <v>528</v>
      </c>
      <c r="AN12" s="10" t="s">
        <v>522</v>
      </c>
      <c r="AO12" s="10" t="s">
        <v>446</v>
      </c>
      <c r="AP12" s="10" t="s">
        <v>529</v>
      </c>
      <c r="AQ12" s="10" t="s">
        <v>530</v>
      </c>
      <c r="AR12" s="10" t="s">
        <v>531</v>
      </c>
      <c r="AS12" s="10" t="s">
        <v>532</v>
      </c>
      <c r="AT12" s="11" t="n">
        <f aca="false">4*Q12+6*R12</f>
        <v>92</v>
      </c>
      <c r="AU12" s="11" t="n">
        <f aca="false">4*AK12+6*AL12</f>
        <v>94</v>
      </c>
      <c r="AV12" s="19" t="n">
        <f aca="false">AT12/G12</f>
        <v>0.544378698224852</v>
      </c>
      <c r="AW12" s="19" t="n">
        <f aca="false">AU12/AA12</f>
        <v>0.549707602339181</v>
      </c>
      <c r="AX12" s="20" t="n">
        <f aca="false">G12/((INT(I12)*6+ROUND((I12-INT(I12))*10,0))/6)</f>
        <v>8.45</v>
      </c>
      <c r="AY12" s="20" t="n">
        <f aca="false">AA12/((INT(AC12)*6+ROUND((AC12-INT(AC12))*10,0))/6)</f>
        <v>9.16071428571429</v>
      </c>
      <c r="AZ12" s="11" t="n">
        <f aca="false">Q12+AK12</f>
        <v>30</v>
      </c>
      <c r="BA12" s="11" t="n">
        <f aca="false">R12+AL12</f>
        <v>11</v>
      </c>
    </row>
    <row r="13" customFormat="false" ht="15" hidden="false" customHeight="false" outlineLevel="0" collapsed="false">
      <c r="A13" s="10" t="s">
        <v>287</v>
      </c>
      <c r="B13" s="10" t="s">
        <v>288</v>
      </c>
      <c r="C13" s="12" t="n">
        <v>45919</v>
      </c>
      <c r="D13" s="10" t="s">
        <v>130</v>
      </c>
      <c r="E13" s="10" t="s">
        <v>244</v>
      </c>
      <c r="F13" s="10" t="s">
        <v>533</v>
      </c>
      <c r="G13" s="10" t="n">
        <v>188</v>
      </c>
      <c r="H13" s="10" t="n">
        <v>8</v>
      </c>
      <c r="I13" s="18" t="n">
        <v>20</v>
      </c>
      <c r="J13" s="10" t="n">
        <v>13</v>
      </c>
      <c r="K13" s="10" t="n">
        <v>1</v>
      </c>
      <c r="L13" s="10" t="n">
        <v>2</v>
      </c>
      <c r="M13" s="10" t="n">
        <v>10</v>
      </c>
      <c r="N13" s="10" t="n">
        <v>0</v>
      </c>
      <c r="O13" s="10" t="n">
        <v>60</v>
      </c>
      <c r="P13" s="10" t="s">
        <v>374</v>
      </c>
      <c r="Q13" s="10" t="n">
        <v>18</v>
      </c>
      <c r="R13" s="10" t="n">
        <v>8</v>
      </c>
      <c r="S13" s="10" t="s">
        <v>534</v>
      </c>
      <c r="T13" s="10" t="s">
        <v>535</v>
      </c>
      <c r="U13" s="10" t="s">
        <v>400</v>
      </c>
      <c r="V13" s="10" t="s">
        <v>536</v>
      </c>
      <c r="W13" s="10" t="s">
        <v>537</v>
      </c>
      <c r="X13" s="10" t="s">
        <v>538</v>
      </c>
      <c r="Y13" s="10" t="s">
        <v>539</v>
      </c>
      <c r="Z13" s="10" t="s">
        <v>540</v>
      </c>
      <c r="AA13" s="10" t="n">
        <v>167</v>
      </c>
      <c r="AB13" s="10" t="n">
        <v>4</v>
      </c>
      <c r="AC13" s="18" t="n">
        <v>20</v>
      </c>
      <c r="AD13" s="10" t="n">
        <v>7</v>
      </c>
      <c r="AE13" s="10" t="n">
        <v>1</v>
      </c>
      <c r="AF13" s="10" t="n">
        <v>0</v>
      </c>
      <c r="AG13" s="10" t="n">
        <v>5</v>
      </c>
      <c r="AH13" s="10" t="n">
        <v>1</v>
      </c>
      <c r="AI13" s="10" t="n">
        <v>44</v>
      </c>
      <c r="AJ13" s="10" t="s">
        <v>374</v>
      </c>
      <c r="AK13" s="10" t="n">
        <v>15</v>
      </c>
      <c r="AL13" s="10" t="n">
        <v>6</v>
      </c>
      <c r="AM13" s="10" t="s">
        <v>541</v>
      </c>
      <c r="AN13" s="10" t="s">
        <v>542</v>
      </c>
      <c r="AO13" s="10" t="s">
        <v>431</v>
      </c>
      <c r="AP13" s="10" t="s">
        <v>543</v>
      </c>
      <c r="AQ13" s="10" t="s">
        <v>544</v>
      </c>
      <c r="AR13" s="10" t="s">
        <v>545</v>
      </c>
      <c r="AS13" s="10" t="s">
        <v>546</v>
      </c>
      <c r="AT13" s="11" t="n">
        <f aca="false">4*Q13+6*R13</f>
        <v>120</v>
      </c>
      <c r="AU13" s="11" t="n">
        <f aca="false">4*AK13+6*AL13</f>
        <v>96</v>
      </c>
      <c r="AV13" s="19" t="n">
        <f aca="false">AT13/G13</f>
        <v>0.638297872340426</v>
      </c>
      <c r="AW13" s="19" t="n">
        <f aca="false">AU13/AA13</f>
        <v>0.574850299401198</v>
      </c>
      <c r="AX13" s="20" t="n">
        <f aca="false">G13/((INT(I13)*6+ROUND((I13-INT(I13))*10,0))/6)</f>
        <v>9.4</v>
      </c>
      <c r="AY13" s="20" t="n">
        <f aca="false">AA13/((INT(AC13)*6+ROUND((AC13-INT(AC13))*10,0))/6)</f>
        <v>8.35</v>
      </c>
      <c r="AZ13" s="11" t="n">
        <f aca="false">Q13+AK13</f>
        <v>33</v>
      </c>
      <c r="BA13" s="11" t="n">
        <f aca="false">R13+AL13</f>
        <v>14</v>
      </c>
    </row>
    <row r="14" customFormat="false" ht="15" hidden="false" customHeight="false" outlineLevel="0" collapsed="false">
      <c r="A14" s="10" t="s">
        <v>293</v>
      </c>
      <c r="B14" s="10" t="s">
        <v>294</v>
      </c>
      <c r="C14" s="12" t="n">
        <v>45920</v>
      </c>
      <c r="D14" s="10" t="s">
        <v>111</v>
      </c>
      <c r="E14" s="10" t="s">
        <v>144</v>
      </c>
      <c r="F14" s="10" t="s">
        <v>547</v>
      </c>
      <c r="G14" s="10" t="n">
        <v>168</v>
      </c>
      <c r="H14" s="10" t="n">
        <v>7</v>
      </c>
      <c r="I14" s="18" t="n">
        <v>20</v>
      </c>
      <c r="J14" s="10" t="n">
        <v>3</v>
      </c>
      <c r="K14" s="10" t="n">
        <v>0</v>
      </c>
      <c r="L14" s="10" t="n">
        <v>1</v>
      </c>
      <c r="M14" s="10" t="n">
        <v>2</v>
      </c>
      <c r="N14" s="10" t="n">
        <v>0</v>
      </c>
      <c r="O14" s="10" t="n">
        <v>53</v>
      </c>
      <c r="P14" s="10" t="s">
        <v>374</v>
      </c>
      <c r="Q14" s="10" t="n">
        <v>16</v>
      </c>
      <c r="R14" s="10" t="n">
        <v>5</v>
      </c>
      <c r="S14" s="10" t="s">
        <v>548</v>
      </c>
      <c r="T14" s="10" t="s">
        <v>549</v>
      </c>
      <c r="U14" s="10" t="s">
        <v>446</v>
      </c>
      <c r="V14" s="10" t="s">
        <v>529</v>
      </c>
      <c r="W14" s="10" t="s">
        <v>550</v>
      </c>
      <c r="X14" s="10" t="s">
        <v>551</v>
      </c>
      <c r="Y14" s="10" t="s">
        <v>552</v>
      </c>
      <c r="Z14" s="10" t="s">
        <v>553</v>
      </c>
      <c r="AA14" s="10" t="n">
        <v>169</v>
      </c>
      <c r="AB14" s="10" t="n">
        <v>6</v>
      </c>
      <c r="AC14" s="18" t="n">
        <v>19.5</v>
      </c>
      <c r="AD14" s="10" t="n">
        <v>3</v>
      </c>
      <c r="AE14" s="10" t="n">
        <v>0</v>
      </c>
      <c r="AF14" s="10" t="n">
        <v>0</v>
      </c>
      <c r="AG14" s="10" t="n">
        <v>3</v>
      </c>
      <c r="AH14" s="10" t="n">
        <v>0</v>
      </c>
      <c r="AI14" s="10" t="n">
        <v>59</v>
      </c>
      <c r="AJ14" s="10" t="s">
        <v>374</v>
      </c>
      <c r="AK14" s="10" t="n">
        <v>18</v>
      </c>
      <c r="AL14" s="10" t="n">
        <v>4</v>
      </c>
      <c r="AM14" s="10" t="s">
        <v>554</v>
      </c>
      <c r="AN14" s="10" t="s">
        <v>555</v>
      </c>
      <c r="AO14" s="10" t="s">
        <v>415</v>
      </c>
      <c r="AP14" s="10" t="s">
        <v>556</v>
      </c>
      <c r="AQ14" s="10" t="s">
        <v>557</v>
      </c>
      <c r="AR14" s="10" t="s">
        <v>558</v>
      </c>
      <c r="AS14" s="10" t="s">
        <v>559</v>
      </c>
      <c r="AT14" s="11" t="n">
        <f aca="false">4*Q14+6*R14</f>
        <v>94</v>
      </c>
      <c r="AU14" s="11" t="n">
        <f aca="false">4*AK14+6*AL14</f>
        <v>96</v>
      </c>
      <c r="AV14" s="19" t="n">
        <f aca="false">AT14/G14</f>
        <v>0.55952380952381</v>
      </c>
      <c r="AW14" s="19" t="n">
        <f aca="false">AU14/AA14</f>
        <v>0.568047337278107</v>
      </c>
      <c r="AX14" s="20" t="n">
        <f aca="false">G14/((INT(I14)*6+ROUND((I14-INT(I14))*10,0))/6)</f>
        <v>8.4</v>
      </c>
      <c r="AY14" s="20" t="n">
        <f aca="false">AA14/((INT(AC14)*6+ROUND((AC14-INT(AC14))*10,0))/6)</f>
        <v>8.52100840336134</v>
      </c>
      <c r="AZ14" s="11" t="n">
        <f aca="false">Q14+AK14</f>
        <v>34</v>
      </c>
      <c r="BA14" s="11" t="n">
        <f aca="false">R14+AL14</f>
        <v>9</v>
      </c>
    </row>
    <row r="15" customFormat="false" ht="15" hidden="false" customHeight="false" outlineLevel="0" collapsed="false">
      <c r="A15" s="10" t="s">
        <v>298</v>
      </c>
      <c r="B15" s="10" t="s">
        <v>299</v>
      </c>
      <c r="C15" s="12" t="n">
        <v>45921</v>
      </c>
      <c r="D15" s="10" t="s">
        <v>129</v>
      </c>
      <c r="E15" s="10" t="s">
        <v>130</v>
      </c>
      <c r="F15" s="10" t="s">
        <v>560</v>
      </c>
      <c r="G15" s="10" t="n">
        <v>171</v>
      </c>
      <c r="H15" s="10" t="n">
        <v>5</v>
      </c>
      <c r="I15" s="18" t="n">
        <v>20</v>
      </c>
      <c r="J15" s="10" t="n">
        <v>9</v>
      </c>
      <c r="K15" s="10" t="n">
        <v>0</v>
      </c>
      <c r="L15" s="10" t="n">
        <v>0</v>
      </c>
      <c r="M15" s="10" t="n">
        <v>7</v>
      </c>
      <c r="N15" s="10" t="n">
        <v>2</v>
      </c>
      <c r="O15" s="10" t="n">
        <v>55</v>
      </c>
      <c r="P15" s="10" t="s">
        <v>374</v>
      </c>
      <c r="Q15" s="10" t="n">
        <v>15</v>
      </c>
      <c r="R15" s="10" t="n">
        <v>6</v>
      </c>
      <c r="S15" s="10" t="s">
        <v>561</v>
      </c>
      <c r="T15" s="10" t="s">
        <v>562</v>
      </c>
      <c r="U15" s="10" t="s">
        <v>423</v>
      </c>
      <c r="V15" s="10" t="s">
        <v>563</v>
      </c>
      <c r="W15" s="10" t="s">
        <v>564</v>
      </c>
      <c r="X15" s="10" t="s">
        <v>565</v>
      </c>
      <c r="Y15" s="10" t="s">
        <v>566</v>
      </c>
      <c r="Z15" s="10" t="s">
        <v>567</v>
      </c>
      <c r="AA15" s="10" t="n">
        <v>174</v>
      </c>
      <c r="AB15" s="10" t="n">
        <v>4</v>
      </c>
      <c r="AC15" s="18" t="n">
        <v>18.5</v>
      </c>
      <c r="AD15" s="10" t="n">
        <v>3</v>
      </c>
      <c r="AE15" s="10" t="n">
        <v>0</v>
      </c>
      <c r="AF15" s="10" t="n">
        <v>0</v>
      </c>
      <c r="AG15" s="10" t="n">
        <v>3</v>
      </c>
      <c r="AH15" s="10" t="n">
        <v>0</v>
      </c>
      <c r="AI15" s="10" t="n">
        <v>69</v>
      </c>
      <c r="AJ15" s="10" t="s">
        <v>374</v>
      </c>
      <c r="AK15" s="10" t="n">
        <v>18</v>
      </c>
      <c r="AL15" s="10" t="n">
        <v>7</v>
      </c>
      <c r="AM15" s="10" t="s">
        <v>568</v>
      </c>
      <c r="AN15" s="10" t="s">
        <v>569</v>
      </c>
      <c r="AO15" s="10" t="s">
        <v>400</v>
      </c>
      <c r="AP15" s="10" t="s">
        <v>401</v>
      </c>
      <c r="AQ15" s="10" t="s">
        <v>570</v>
      </c>
      <c r="AR15" s="10" t="s">
        <v>571</v>
      </c>
      <c r="AS15" s="10" t="s">
        <v>572</v>
      </c>
      <c r="AT15" s="11" t="n">
        <f aca="false">4*Q15+6*R15</f>
        <v>96</v>
      </c>
      <c r="AU15" s="11" t="n">
        <f aca="false">4*AK15+6*AL15</f>
        <v>114</v>
      </c>
      <c r="AV15" s="19" t="n">
        <f aca="false">AT15/G15</f>
        <v>0.56140350877193</v>
      </c>
      <c r="AW15" s="19" t="n">
        <f aca="false">AU15/AA15</f>
        <v>0.655172413793103</v>
      </c>
      <c r="AX15" s="20" t="n">
        <f aca="false">G15/((INT(I15)*6+ROUND((I15-INT(I15))*10,0))/6)</f>
        <v>8.55</v>
      </c>
      <c r="AY15" s="20" t="n">
        <f aca="false">AA15/((INT(AC15)*6+ROUND((AC15-INT(AC15))*10,0))/6)</f>
        <v>9.23893805309735</v>
      </c>
      <c r="AZ15" s="11" t="n">
        <f aca="false">Q15+AK15</f>
        <v>33</v>
      </c>
      <c r="BA15" s="11" t="n">
        <f aca="false">R15+AL15</f>
        <v>13</v>
      </c>
    </row>
    <row r="16" customFormat="false" ht="15" hidden="false" customHeight="false" outlineLevel="0" collapsed="false">
      <c r="A16" s="10" t="s">
        <v>303</v>
      </c>
      <c r="B16" s="10" t="s">
        <v>304</v>
      </c>
      <c r="C16" s="12" t="n">
        <v>45923</v>
      </c>
      <c r="D16" s="10" t="s">
        <v>111</v>
      </c>
      <c r="E16" s="10" t="s">
        <v>129</v>
      </c>
      <c r="F16" s="10" t="s">
        <v>573</v>
      </c>
      <c r="G16" s="10" t="n">
        <v>133</v>
      </c>
      <c r="H16" s="10" t="n">
        <v>8</v>
      </c>
      <c r="I16" s="18" t="n">
        <v>20</v>
      </c>
      <c r="J16" s="10" t="n">
        <v>7</v>
      </c>
      <c r="K16" s="10" t="n">
        <v>3</v>
      </c>
      <c r="L16" s="10" t="n">
        <v>0</v>
      </c>
      <c r="M16" s="10" t="n">
        <v>3</v>
      </c>
      <c r="N16" s="10" t="n">
        <v>1</v>
      </c>
      <c r="O16" s="10" t="n">
        <v>53</v>
      </c>
      <c r="P16" s="10" t="s">
        <v>374</v>
      </c>
      <c r="Q16" s="10" t="n">
        <v>11</v>
      </c>
      <c r="R16" s="10" t="n">
        <v>3</v>
      </c>
      <c r="S16" s="10" t="s">
        <v>574</v>
      </c>
      <c r="T16" s="10" t="s">
        <v>575</v>
      </c>
      <c r="U16" s="10" t="s">
        <v>446</v>
      </c>
      <c r="V16" s="10" t="s">
        <v>576</v>
      </c>
      <c r="W16" s="10" t="s">
        <v>577</v>
      </c>
      <c r="X16" s="10" t="s">
        <v>578</v>
      </c>
      <c r="Y16" s="10" t="s">
        <v>579</v>
      </c>
      <c r="Z16" s="10" t="s">
        <v>580</v>
      </c>
      <c r="AA16" s="10" t="n">
        <v>138</v>
      </c>
      <c r="AB16" s="10" t="n">
        <v>5</v>
      </c>
      <c r="AC16" s="18" t="n">
        <v>18</v>
      </c>
      <c r="AD16" s="10" t="n">
        <v>7</v>
      </c>
      <c r="AE16" s="10" t="n">
        <v>4</v>
      </c>
      <c r="AF16" s="10" t="n">
        <v>1</v>
      </c>
      <c r="AG16" s="10" t="n">
        <v>2</v>
      </c>
      <c r="AH16" s="10" t="n">
        <v>0</v>
      </c>
      <c r="AI16" s="10" t="n">
        <v>48</v>
      </c>
      <c r="AJ16" s="10" t="s">
        <v>374</v>
      </c>
      <c r="AK16" s="10" t="n">
        <v>12</v>
      </c>
      <c r="AL16" s="10" t="n">
        <v>4</v>
      </c>
      <c r="AM16" s="10" t="s">
        <v>581</v>
      </c>
      <c r="AN16" s="10" t="s">
        <v>575</v>
      </c>
      <c r="AO16" s="10" t="s">
        <v>423</v>
      </c>
      <c r="AP16" s="10" t="s">
        <v>563</v>
      </c>
      <c r="AQ16" s="10" t="s">
        <v>582</v>
      </c>
      <c r="AR16" s="10" t="s">
        <v>583</v>
      </c>
      <c r="AS16" s="10" t="s">
        <v>584</v>
      </c>
      <c r="AT16" s="11" t="n">
        <f aca="false">4*Q16+6*R16</f>
        <v>62</v>
      </c>
      <c r="AU16" s="11" t="n">
        <f aca="false">4*AK16+6*AL16</f>
        <v>72</v>
      </c>
      <c r="AV16" s="19" t="n">
        <f aca="false">AT16/G16</f>
        <v>0.466165413533835</v>
      </c>
      <c r="AW16" s="19" t="n">
        <f aca="false">AU16/AA16</f>
        <v>0.521739130434783</v>
      </c>
      <c r="AX16" s="20" t="n">
        <f aca="false">G16/((INT(I16)*6+ROUND((I16-INT(I16))*10,0))/6)</f>
        <v>6.65</v>
      </c>
      <c r="AY16" s="20" t="n">
        <f aca="false">AA16/((INT(AC16)*6+ROUND((AC16-INT(AC16))*10,0))/6)</f>
        <v>7.66666666666667</v>
      </c>
      <c r="AZ16" s="11" t="n">
        <f aca="false">Q16+AK16</f>
        <v>23</v>
      </c>
      <c r="BA16" s="11" t="n">
        <f aca="false">R16+AL16</f>
        <v>7</v>
      </c>
    </row>
    <row r="17" customFormat="false" ht="15" hidden="false" customHeight="false" outlineLevel="0" collapsed="false">
      <c r="A17" s="10" t="s">
        <v>308</v>
      </c>
      <c r="B17" s="10" t="s">
        <v>309</v>
      </c>
      <c r="C17" s="12" t="n">
        <v>45924</v>
      </c>
      <c r="D17" s="10" t="s">
        <v>130</v>
      </c>
      <c r="E17" s="10" t="s">
        <v>144</v>
      </c>
      <c r="F17" s="10" t="s">
        <v>585</v>
      </c>
      <c r="G17" s="10" t="n">
        <v>168</v>
      </c>
      <c r="H17" s="10" t="n">
        <v>6</v>
      </c>
      <c r="I17" s="18" t="n">
        <v>20</v>
      </c>
      <c r="J17" s="10" t="n">
        <v>4</v>
      </c>
      <c r="K17" s="10" t="n">
        <v>0</v>
      </c>
      <c r="L17" s="10" t="n">
        <v>1</v>
      </c>
      <c r="M17" s="10" t="n">
        <v>2</v>
      </c>
      <c r="N17" s="10" t="n">
        <v>1</v>
      </c>
      <c r="O17" s="10" t="n">
        <v>72</v>
      </c>
      <c r="P17" s="10" t="s">
        <v>374</v>
      </c>
      <c r="Q17" s="10" t="n">
        <v>16</v>
      </c>
      <c r="R17" s="10" t="n">
        <v>8</v>
      </c>
      <c r="S17" s="10" t="s">
        <v>586</v>
      </c>
      <c r="T17" s="10" t="s">
        <v>460</v>
      </c>
      <c r="U17" s="10" t="s">
        <v>400</v>
      </c>
      <c r="V17" s="10" t="s">
        <v>401</v>
      </c>
      <c r="W17" s="10" t="s">
        <v>587</v>
      </c>
      <c r="X17" s="10" t="s">
        <v>588</v>
      </c>
      <c r="Y17" s="10" t="s">
        <v>589</v>
      </c>
      <c r="Z17" s="10" t="s">
        <v>590</v>
      </c>
      <c r="AA17" s="10" t="n">
        <v>127</v>
      </c>
      <c r="AB17" s="10" t="n">
        <v>10</v>
      </c>
      <c r="AC17" s="18" t="n">
        <v>19.3</v>
      </c>
      <c r="AD17" s="10" t="n">
        <v>9</v>
      </c>
      <c r="AE17" s="10" t="n">
        <v>0</v>
      </c>
      <c r="AF17" s="10" t="n">
        <v>0</v>
      </c>
      <c r="AG17" s="10" t="n">
        <v>9</v>
      </c>
      <c r="AH17" s="10" t="n">
        <v>0</v>
      </c>
      <c r="AI17" s="10" t="n">
        <v>44</v>
      </c>
      <c r="AJ17" s="10" t="s">
        <v>374</v>
      </c>
      <c r="AK17" s="10" t="n">
        <v>12</v>
      </c>
      <c r="AL17" s="10" t="n">
        <v>4</v>
      </c>
      <c r="AM17" s="10" t="s">
        <v>591</v>
      </c>
      <c r="AN17" s="10" t="s">
        <v>592</v>
      </c>
      <c r="AO17" s="10" t="s">
        <v>415</v>
      </c>
      <c r="AP17" s="10" t="s">
        <v>593</v>
      </c>
      <c r="AQ17" s="10" t="s">
        <v>594</v>
      </c>
      <c r="AR17" s="10" t="s">
        <v>595</v>
      </c>
      <c r="AS17" s="10" t="s">
        <v>596</v>
      </c>
      <c r="AT17" s="11" t="n">
        <f aca="false">4*Q17+6*R17</f>
        <v>112</v>
      </c>
      <c r="AU17" s="11" t="n">
        <f aca="false">4*AK17+6*AL17</f>
        <v>72</v>
      </c>
      <c r="AV17" s="19" t="n">
        <f aca="false">AT17/G17</f>
        <v>0.666666666666667</v>
      </c>
      <c r="AW17" s="19" t="n">
        <f aca="false">AU17/AA17</f>
        <v>0.566929133858268</v>
      </c>
      <c r="AX17" s="20" t="n">
        <f aca="false">G17/((INT(I17)*6+ROUND((I17-INT(I17))*10,0))/6)</f>
        <v>8.4</v>
      </c>
      <c r="AY17" s="20" t="n">
        <f aca="false">AA17/((INT(AC17)*6+ROUND((AC17-INT(AC17))*10,0))/6)</f>
        <v>6.51282051282051</v>
      </c>
      <c r="AZ17" s="11" t="n">
        <f aca="false">Q17+AK17</f>
        <v>28</v>
      </c>
      <c r="BA17" s="11" t="n">
        <f aca="false">R17+AL17</f>
        <v>12</v>
      </c>
    </row>
    <row r="18" customFormat="false" ht="15" hidden="false" customHeight="false" outlineLevel="0" collapsed="false">
      <c r="A18" s="10" t="s">
        <v>312</v>
      </c>
      <c r="B18" s="10" t="s">
        <v>313</v>
      </c>
      <c r="C18" s="12" t="n">
        <v>45925</v>
      </c>
      <c r="D18" s="10" t="s">
        <v>129</v>
      </c>
      <c r="E18" s="10" t="s">
        <v>144</v>
      </c>
      <c r="F18" s="10" t="s">
        <v>597</v>
      </c>
      <c r="G18" s="10" t="n">
        <v>135</v>
      </c>
      <c r="H18" s="10" t="n">
        <v>8</v>
      </c>
      <c r="I18" s="18" t="n">
        <v>20</v>
      </c>
      <c r="J18" s="10" t="n">
        <v>4</v>
      </c>
      <c r="K18" s="10" t="n">
        <v>0</v>
      </c>
      <c r="L18" s="10" t="n">
        <v>0</v>
      </c>
      <c r="M18" s="10" t="n">
        <v>4</v>
      </c>
      <c r="N18" s="10" t="n">
        <v>0</v>
      </c>
      <c r="O18" s="10" t="n">
        <v>27</v>
      </c>
      <c r="P18" s="10" t="s">
        <v>374</v>
      </c>
      <c r="Q18" s="10" t="n">
        <v>10</v>
      </c>
      <c r="R18" s="10" t="n">
        <v>4</v>
      </c>
      <c r="S18" s="10" t="s">
        <v>598</v>
      </c>
      <c r="T18" s="10" t="s">
        <v>599</v>
      </c>
      <c r="U18" s="10" t="s">
        <v>423</v>
      </c>
      <c r="V18" s="10" t="s">
        <v>600</v>
      </c>
      <c r="W18" s="10" t="s">
        <v>601</v>
      </c>
      <c r="X18" s="10" t="s">
        <v>602</v>
      </c>
      <c r="Y18" s="10" t="s">
        <v>603</v>
      </c>
      <c r="Z18" s="10" t="s">
        <v>604</v>
      </c>
      <c r="AA18" s="10" t="n">
        <v>124</v>
      </c>
      <c r="AB18" s="10" t="n">
        <v>9</v>
      </c>
      <c r="AC18" s="18" t="n">
        <v>20</v>
      </c>
      <c r="AD18" s="10" t="n">
        <v>3</v>
      </c>
      <c r="AE18" s="10" t="n">
        <v>1</v>
      </c>
      <c r="AF18" s="10" t="n">
        <v>2</v>
      </c>
      <c r="AG18" s="10" t="n">
        <v>0</v>
      </c>
      <c r="AH18" s="10" t="n">
        <v>0</v>
      </c>
      <c r="AI18" s="10" t="n">
        <v>36</v>
      </c>
      <c r="AJ18" s="10" t="s">
        <v>374</v>
      </c>
      <c r="AK18" s="10" t="n">
        <v>11</v>
      </c>
      <c r="AL18" s="10" t="n">
        <v>3</v>
      </c>
      <c r="AM18" s="10" t="s">
        <v>605</v>
      </c>
      <c r="AN18" s="10" t="s">
        <v>606</v>
      </c>
      <c r="AO18" s="10" t="s">
        <v>415</v>
      </c>
      <c r="AP18" s="10" t="s">
        <v>607</v>
      </c>
      <c r="AQ18" s="10" t="s">
        <v>608</v>
      </c>
      <c r="AR18" s="10" t="s">
        <v>609</v>
      </c>
      <c r="AS18" s="10" t="s">
        <v>610</v>
      </c>
      <c r="AT18" s="11" t="n">
        <f aca="false">4*Q18+6*R18</f>
        <v>64</v>
      </c>
      <c r="AU18" s="11" t="n">
        <f aca="false">4*AK18+6*AL18</f>
        <v>62</v>
      </c>
      <c r="AV18" s="19" t="n">
        <f aca="false">AT18/G18</f>
        <v>0.474074074074074</v>
      </c>
      <c r="AW18" s="19" t="n">
        <f aca="false">AU18/AA18</f>
        <v>0.5</v>
      </c>
      <c r="AX18" s="20" t="n">
        <f aca="false">G18/((INT(I18)*6+ROUND((I18-INT(I18))*10,0))/6)</f>
        <v>6.75</v>
      </c>
      <c r="AY18" s="20" t="n">
        <f aca="false">AA18/((INT(AC18)*6+ROUND((AC18-INT(AC18))*10,0))/6)</f>
        <v>6.2</v>
      </c>
      <c r="AZ18" s="11" t="n">
        <f aca="false">Q18+AK18</f>
        <v>21</v>
      </c>
      <c r="BA18" s="11" t="n">
        <f aca="false">R18+AL18</f>
        <v>7</v>
      </c>
    </row>
    <row r="19" customFormat="false" ht="15" hidden="false" customHeight="false" outlineLevel="0" collapsed="false">
      <c r="A19" s="10" t="s">
        <v>317</v>
      </c>
      <c r="B19" s="10" t="s">
        <v>318</v>
      </c>
      <c r="C19" s="12" t="n">
        <v>45926</v>
      </c>
      <c r="D19" s="10" t="s">
        <v>130</v>
      </c>
      <c r="E19" s="10" t="s">
        <v>111</v>
      </c>
      <c r="F19" s="10" t="s">
        <v>611</v>
      </c>
      <c r="G19" s="10" t="n">
        <v>202</v>
      </c>
      <c r="H19" s="10" t="n">
        <v>5</v>
      </c>
      <c r="I19" s="18" t="n">
        <v>20</v>
      </c>
      <c r="J19" s="10" t="n">
        <v>14</v>
      </c>
      <c r="K19" s="10" t="n">
        <v>0</v>
      </c>
      <c r="L19" s="10" t="n">
        <v>5</v>
      </c>
      <c r="M19" s="10" t="n">
        <v>7</v>
      </c>
      <c r="N19" s="10" t="n">
        <v>2</v>
      </c>
      <c r="O19" s="10" t="n">
        <v>71</v>
      </c>
      <c r="P19" s="10" t="s">
        <v>374</v>
      </c>
      <c r="Q19" s="10" t="n">
        <v>18</v>
      </c>
      <c r="R19" s="10" t="n">
        <v>10</v>
      </c>
      <c r="S19" s="10" t="s">
        <v>612</v>
      </c>
      <c r="T19" s="10" t="s">
        <v>613</v>
      </c>
      <c r="U19" s="10" t="s">
        <v>400</v>
      </c>
      <c r="V19" s="10" t="s">
        <v>614</v>
      </c>
      <c r="W19" s="10" t="s">
        <v>615</v>
      </c>
      <c r="X19" s="10" t="s">
        <v>616</v>
      </c>
      <c r="Y19" s="10" t="s">
        <v>617</v>
      </c>
      <c r="Z19" s="10" t="s">
        <v>611</v>
      </c>
      <c r="AA19" s="10" t="n">
        <v>202</v>
      </c>
      <c r="AB19" s="10" t="n">
        <v>5</v>
      </c>
      <c r="AC19" s="18" t="n">
        <v>20</v>
      </c>
      <c r="AD19" s="10" t="n">
        <v>5</v>
      </c>
      <c r="AE19" s="10" t="n">
        <v>1</v>
      </c>
      <c r="AF19" s="10" t="n">
        <v>0</v>
      </c>
      <c r="AG19" s="10" t="n">
        <v>4</v>
      </c>
      <c r="AH19" s="10" t="n">
        <v>0</v>
      </c>
      <c r="AI19" s="10" t="n">
        <v>72</v>
      </c>
      <c r="AJ19" s="10" t="s">
        <v>374</v>
      </c>
      <c r="AK19" s="10" t="n">
        <v>19</v>
      </c>
      <c r="AL19" s="10" t="n">
        <v>8</v>
      </c>
      <c r="AM19" s="10" t="s">
        <v>618</v>
      </c>
      <c r="AN19" s="10" t="s">
        <v>619</v>
      </c>
      <c r="AO19" s="10" t="s">
        <v>446</v>
      </c>
      <c r="AP19" s="10" t="s">
        <v>620</v>
      </c>
      <c r="AQ19" s="10" t="s">
        <v>621</v>
      </c>
      <c r="AR19" s="10" t="s">
        <v>622</v>
      </c>
      <c r="AS19" s="10" t="s">
        <v>623</v>
      </c>
      <c r="AT19" s="11" t="n">
        <f aca="false">4*Q19+6*R19</f>
        <v>132</v>
      </c>
      <c r="AU19" s="11" t="n">
        <f aca="false">4*AK19+6*AL19</f>
        <v>124</v>
      </c>
      <c r="AV19" s="19" t="n">
        <f aca="false">AT19/G19</f>
        <v>0.653465346534654</v>
      </c>
      <c r="AW19" s="19" t="n">
        <f aca="false">AU19/AA19</f>
        <v>0.613861386138614</v>
      </c>
      <c r="AX19" s="20" t="n">
        <f aca="false">G19/((INT(I19)*6+ROUND((I19-INT(I19))*10,0))/6)</f>
        <v>10.1</v>
      </c>
      <c r="AY19" s="20" t="n">
        <f aca="false">AA19/((INT(AC19)*6+ROUND((AC19-INT(AC19))*10,0))/6)</f>
        <v>10.1</v>
      </c>
      <c r="AZ19" s="11" t="n">
        <f aca="false">Q19+AK19</f>
        <v>37</v>
      </c>
      <c r="BA19" s="11" t="n">
        <f aca="false">R19+AL19</f>
        <v>18</v>
      </c>
    </row>
    <row r="20" customFormat="false" ht="15" hidden="false" customHeight="false" outlineLevel="0" collapsed="false">
      <c r="A20" s="10" t="s">
        <v>322</v>
      </c>
      <c r="B20" s="10" t="s">
        <v>209</v>
      </c>
      <c r="C20" s="12" t="n">
        <v>45928</v>
      </c>
      <c r="D20" s="10" t="s">
        <v>129</v>
      </c>
      <c r="E20" s="10" t="s">
        <v>130</v>
      </c>
      <c r="F20" s="10" t="s">
        <v>624</v>
      </c>
      <c r="G20" s="10" t="n">
        <v>146</v>
      </c>
      <c r="H20" s="10" t="n">
        <v>10</v>
      </c>
      <c r="I20" s="18" t="n">
        <v>19.1</v>
      </c>
      <c r="J20" s="10" t="n">
        <v>7</v>
      </c>
      <c r="K20" s="10" t="n">
        <v>1</v>
      </c>
      <c r="L20" s="10" t="n">
        <v>2</v>
      </c>
      <c r="M20" s="10" t="n">
        <v>4</v>
      </c>
      <c r="N20" s="10" t="n">
        <v>0</v>
      </c>
      <c r="O20" s="10" t="n">
        <v>45</v>
      </c>
      <c r="P20" s="10" t="s">
        <v>374</v>
      </c>
      <c r="Q20" s="10" t="n">
        <v>12</v>
      </c>
      <c r="R20" s="10" t="n">
        <v>5</v>
      </c>
      <c r="S20" s="10" t="s">
        <v>625</v>
      </c>
      <c r="T20" s="10" t="s">
        <v>626</v>
      </c>
      <c r="U20" s="10" t="s">
        <v>423</v>
      </c>
      <c r="V20" s="10" t="s">
        <v>600</v>
      </c>
      <c r="W20" s="10" t="s">
        <v>627</v>
      </c>
      <c r="X20" s="10" t="s">
        <v>628</v>
      </c>
      <c r="Y20" s="10" t="s">
        <v>629</v>
      </c>
      <c r="Z20" s="10" t="s">
        <v>630</v>
      </c>
      <c r="AA20" s="10" t="n">
        <v>150</v>
      </c>
      <c r="AB20" s="10" t="n">
        <v>5</v>
      </c>
      <c r="AC20" s="18" t="n">
        <v>19.4</v>
      </c>
      <c r="AD20" s="10" t="n">
        <v>2</v>
      </c>
      <c r="AE20" s="10" t="n">
        <v>0</v>
      </c>
      <c r="AF20" s="10" t="n">
        <v>0</v>
      </c>
      <c r="AG20" s="10" t="n">
        <v>2</v>
      </c>
      <c r="AH20" s="10" t="n">
        <v>0</v>
      </c>
      <c r="AI20" s="10" t="n">
        <v>36</v>
      </c>
      <c r="AJ20" s="10" t="s">
        <v>374</v>
      </c>
      <c r="AK20" s="10" t="n">
        <v>13</v>
      </c>
      <c r="AL20" s="10" t="n">
        <v>4</v>
      </c>
      <c r="AM20" s="10" t="s">
        <v>631</v>
      </c>
      <c r="AN20" s="10" t="s">
        <v>626</v>
      </c>
      <c r="AO20" s="10" t="s">
        <v>400</v>
      </c>
      <c r="AP20" s="10" t="s">
        <v>632</v>
      </c>
      <c r="AQ20" s="10" t="s">
        <v>633</v>
      </c>
      <c r="AR20" s="10" t="s">
        <v>634</v>
      </c>
      <c r="AS20" s="10" t="s">
        <v>635</v>
      </c>
      <c r="AT20" s="11" t="n">
        <f aca="false">4*Q20+6*R20</f>
        <v>78</v>
      </c>
      <c r="AU20" s="11" t="n">
        <f aca="false">4*AK20+6*AL20</f>
        <v>76</v>
      </c>
      <c r="AV20" s="19" t="n">
        <f aca="false">AT20/G20</f>
        <v>0.534246575342466</v>
      </c>
      <c r="AW20" s="19" t="n">
        <f aca="false">AU20/AA20</f>
        <v>0.506666666666667</v>
      </c>
      <c r="AX20" s="20" t="n">
        <f aca="false">G20/((INT(I20)*6+ROUND((I20-INT(I20))*10,0))/6)</f>
        <v>7.61739130434783</v>
      </c>
      <c r="AY20" s="20" t="n">
        <f aca="false">AA20/((INT(AC20)*6+ROUND((AC20-INT(AC20))*10,0))/6)</f>
        <v>7.6271186440678</v>
      </c>
      <c r="AZ20" s="11" t="n">
        <f aca="false">Q20+AK20</f>
        <v>25</v>
      </c>
      <c r="BA20" s="11" t="n">
        <f aca="false">R20+AL20</f>
        <v>9</v>
      </c>
    </row>
  </sheetData>
  <autoFilter ref="A1:BA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9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14"/>
  </cols>
  <sheetData>
    <row r="1" customFormat="false" ht="31.5" hidden="false" customHeight="true" outlineLevel="0" collapsed="false">
      <c r="A1" s="9" t="s">
        <v>45</v>
      </c>
      <c r="B1" s="9" t="s">
        <v>636</v>
      </c>
      <c r="C1" s="9" t="s">
        <v>637</v>
      </c>
      <c r="D1" s="9" t="s">
        <v>638</v>
      </c>
      <c r="E1" s="9" t="s">
        <v>639</v>
      </c>
      <c r="F1" s="9" t="s">
        <v>640</v>
      </c>
      <c r="G1" s="9" t="s">
        <v>641</v>
      </c>
      <c r="H1" s="9" t="s">
        <v>642</v>
      </c>
      <c r="I1" s="9" t="s">
        <v>643</v>
      </c>
      <c r="J1" s="9" t="s">
        <v>644</v>
      </c>
      <c r="K1" s="9" t="s">
        <v>645</v>
      </c>
      <c r="L1" s="9" t="s">
        <v>646</v>
      </c>
      <c r="M1" s="9" t="s">
        <v>647</v>
      </c>
      <c r="N1" s="9" t="s">
        <v>648</v>
      </c>
      <c r="O1" s="9" t="s">
        <v>649</v>
      </c>
    </row>
    <row r="2" customFormat="false" ht="15" hidden="false" customHeight="false" outlineLevel="0" collapsed="false">
      <c r="A2" s="10" t="s">
        <v>98</v>
      </c>
      <c r="B2" s="10" t="s">
        <v>112</v>
      </c>
      <c r="C2" s="11" t="n">
        <f aca="false">COUNTIFS('Master Dataset'!$B$2:$B$33,$A2,'Master Dataset'!$Y$2:$Y$33,$B2)+COUNTIFS('Master Dataset'!$B$2:$B$33,$A2,'Master Dataset'!$Z$2:$Z$33,$B2)</f>
        <v>5</v>
      </c>
      <c r="D2" s="11" t="n">
        <f aca="false">COUNTIFS('Master Dataset'!$B$2:$B$33,$A2,'Master Dataset'!$AG$2:$AG$33,$B2)</f>
        <v>2</v>
      </c>
      <c r="E2" s="11" t="n">
        <f aca="false">C2-D2</f>
        <v>3</v>
      </c>
      <c r="F2" s="19" t="n">
        <f aca="false">IF(C2=0,0,D2/C2)</f>
        <v>0.4</v>
      </c>
      <c r="G2" s="11" t="n">
        <f aca="false">2*D2</f>
        <v>4</v>
      </c>
      <c r="H2" s="11" t="n">
        <f aca="false">COUNTIFS('Master Dataset'!$B$2:$B$33,$A2,'Master Dataset'!$AG$2:$AG$33,$B2,'Master Dataset'!$AR$2:$AR$33,$B2)</f>
        <v>0</v>
      </c>
      <c r="I2" s="11" t="n">
        <f aca="false">D2-H2</f>
        <v>2</v>
      </c>
      <c r="J2" s="11" t="n">
        <f aca="false">COUNTIFS('Master Dataset'!$B$2:$B$33,$A2,'Master Dataset'!$AA$2:$AA$33,$B2)</f>
        <v>2</v>
      </c>
      <c r="K2" s="21" t="n">
        <f aca="false">SUMIFS('Master Dataset'!$AE$2:$AE$33,'Master Dataset'!$B$2:$B$33,$A2,'Master Dataset'!$Y$2:$Y$33,$B2)+SUMIFS('Master Dataset'!$AF$2:$AF$33,'Master Dataset'!$B$2:$B$33,$A2,'Master Dataset'!$Z$2:$Z$33,$B2)</f>
        <v>652</v>
      </c>
      <c r="L2" s="11" t="n">
        <f aca="false">MAX(_xlfn.MAXIFS('Master Dataset'!$AE$2:$AE$33,'Master Dataset'!$B$2:$B$33,$A2,'Master Dataset'!$Y$2:$Y$33,$B2),_xlfn.MAXIFS('Master Dataset'!$AF$2:$AF$33,'Master Dataset'!$B$2:$B$33,$A2,'Master Dataset'!$Z$2:$Z$33,$B2))</f>
        <v>175</v>
      </c>
      <c r="M2" s="11" t="n">
        <f aca="false">MIN(IF(COUNTIFS('Master Dataset'!$B$2:$B$33,$A2,'Master Dataset'!$Y$2:$Y$33,$B2)&gt;0,_xlfn.MINIFS('Master Dataset'!$AE$2:$AE$33,'Master Dataset'!$B$2:$B$33,$A2,'Master Dataset'!$Y$2:$Y$33,$B2),9999),IF(COUNTIFS('Master Dataset'!$B$2:$B$33,$A2,'Master Dataset'!$Z$2:$Z$33,$B2)&gt;0,_xlfn.MINIFS('Master Dataset'!$AF$2:$AF$33,'Master Dataset'!$B$2:$B$33,$A2,'Master Dataset'!$Z$2:$Z$33,$B2),9999))</f>
        <v>106</v>
      </c>
      <c r="N2" s="18" t="n">
        <f aca="false">K2/C2</f>
        <v>130.4</v>
      </c>
      <c r="O2" s="10" t="str">
        <f aca="false">IF(INDEX('Master Dataset'!$AG$2:$AG$33,MATCH($A2&amp;"|Final",'Master Dataset'!$BF$2:$BF$33,0))=$B2,"Champions",IF(OR(INDEX('Master Dataset'!$Y$2:$Y$33,MATCH($A2&amp;"|Final",'Master Dataset'!$BF$2:$BF$33,0))=$B2,INDEX('Master Dataset'!$Z$2:$Z$33,MATCH($A2&amp;"|Final",'Master Dataset'!$BF$2:$BF$33,0))=$B2),"Runners-up",IF(COUNTIFS('Master Dataset'!$B$2:$B$33,$A2,'Master Dataset'!$H$2:$H$33,"Super Four",'Master Dataset'!$Y$2:$Y$33,$B2)+COUNTIFS('Master Dataset'!$B$2:$B$33,$A2,'Master Dataset'!$H$2:$H$33,"Super Four",'Master Dataset'!$Z$2:$Z$33,$B2)&gt;0,"Super Four","Group Stage")))</f>
        <v>Super Four</v>
      </c>
    </row>
    <row r="3" customFormat="false" ht="15" hidden="false" customHeight="false" outlineLevel="0" collapsed="false">
      <c r="A3" s="10" t="s">
        <v>98</v>
      </c>
      <c r="B3" s="10" t="s">
        <v>144</v>
      </c>
      <c r="C3" s="11" t="n">
        <f aca="false">COUNTIFS('Master Dataset'!$B$2:$B$33,$A3,'Master Dataset'!$Y$2:$Y$33,$B3)+COUNTIFS('Master Dataset'!$B$2:$B$33,$A3,'Master Dataset'!$Z$2:$Z$33,$B3)</f>
        <v>2</v>
      </c>
      <c r="D3" s="11" t="n">
        <f aca="false">COUNTIFS('Master Dataset'!$B$2:$B$33,$A3,'Master Dataset'!$AG$2:$AG$33,$B3)</f>
        <v>0</v>
      </c>
      <c r="E3" s="11" t="n">
        <f aca="false">C3-D3</f>
        <v>2</v>
      </c>
      <c r="F3" s="19" t="n">
        <f aca="false">IF(C3=0,0,D3/C3)</f>
        <v>0</v>
      </c>
      <c r="G3" s="11" t="n">
        <f aca="false">2*D3</f>
        <v>0</v>
      </c>
      <c r="H3" s="11" t="n">
        <f aca="false">COUNTIFS('Master Dataset'!$B$2:$B$33,$A3,'Master Dataset'!$AG$2:$AG$33,$B3,'Master Dataset'!$AR$2:$AR$33,$B3)</f>
        <v>0</v>
      </c>
      <c r="I3" s="11" t="n">
        <f aca="false">D3-H3</f>
        <v>0</v>
      </c>
      <c r="J3" s="11" t="n">
        <f aca="false">COUNTIFS('Master Dataset'!$B$2:$B$33,$A3,'Master Dataset'!$AA$2:$AA$33,$B3)</f>
        <v>1</v>
      </c>
      <c r="K3" s="21" t="n">
        <f aca="false">SUMIFS('Master Dataset'!$AE$2:$AE$33,'Master Dataset'!$B$2:$B$33,$A3,'Master Dataset'!$Y$2:$Y$33,$B3)+SUMIFS('Master Dataset'!$AF$2:$AF$33,'Master Dataset'!$B$2:$B$33,$A3,'Master Dataset'!$Z$2:$Z$33,$B3)</f>
        <v>310</v>
      </c>
      <c r="L3" s="11" t="n">
        <f aca="false">MAX(_xlfn.MAXIFS('Master Dataset'!$AE$2:$AE$33,'Master Dataset'!$B$2:$B$33,$A3,'Master Dataset'!$Y$2:$Y$33,$B3),_xlfn.MAXIFS('Master Dataset'!$AF$2:$AF$33,'Master Dataset'!$B$2:$B$33,$A3,'Master Dataset'!$Z$2:$Z$33,$B3))</f>
        <v>183</v>
      </c>
      <c r="M3" s="11" t="n">
        <f aca="false">MIN(IF(COUNTIFS('Master Dataset'!$B$2:$B$33,$A3,'Master Dataset'!$Y$2:$Y$33,$B3)&gt;0,_xlfn.MINIFS('Master Dataset'!$AE$2:$AE$33,'Master Dataset'!$B$2:$B$33,$A3,'Master Dataset'!$Y$2:$Y$33,$B3),9999),IF(COUNTIFS('Master Dataset'!$B$2:$B$33,$A3,'Master Dataset'!$Z$2:$Z$33,$B3)&gt;0,_xlfn.MINIFS('Master Dataset'!$AF$2:$AF$33,'Master Dataset'!$B$2:$B$33,$A3,'Master Dataset'!$Z$2:$Z$33,$B3),9999))</f>
        <v>127</v>
      </c>
      <c r="N3" s="18" t="n">
        <f aca="false">K3/C3</f>
        <v>155</v>
      </c>
      <c r="O3" s="10" t="str">
        <f aca="false">IF(INDEX('Master Dataset'!$AG$2:$AG$33,MATCH($A3&amp;"|Final",'Master Dataset'!$BF$2:$BF$33,0))=$B3,"Champions",IF(OR(INDEX('Master Dataset'!$Y$2:$Y$33,MATCH($A3&amp;"|Final",'Master Dataset'!$BF$2:$BF$33,0))=$B3,INDEX('Master Dataset'!$Z$2:$Z$33,MATCH($A3&amp;"|Final",'Master Dataset'!$BF$2:$BF$33,0))=$B3),"Runners-up",IF(COUNTIFS('Master Dataset'!$B$2:$B$33,$A3,'Master Dataset'!$H$2:$H$33,"Super Four",'Master Dataset'!$Y$2:$Y$33,$B3)+COUNTIFS('Master Dataset'!$B$2:$B$33,$A3,'Master Dataset'!$H$2:$H$33,"Super Four",'Master Dataset'!$Z$2:$Z$33,$B3)&gt;0,"Super Four","Group Stage")))</f>
        <v>Group Stage</v>
      </c>
    </row>
    <row r="4" customFormat="false" ht="15" hidden="false" customHeight="false" outlineLevel="0" collapsed="false">
      <c r="A4" s="10" t="s">
        <v>98</v>
      </c>
      <c r="B4" s="10" t="s">
        <v>155</v>
      </c>
      <c r="C4" s="11" t="n">
        <f aca="false">COUNTIFS('Master Dataset'!$B$2:$B$33,$A4,'Master Dataset'!$Y$2:$Y$33,$B4)+COUNTIFS('Master Dataset'!$B$2:$B$33,$A4,'Master Dataset'!$Z$2:$Z$33,$B4)</f>
        <v>2</v>
      </c>
      <c r="D4" s="11" t="n">
        <f aca="false">COUNTIFS('Master Dataset'!$B$2:$B$33,$A4,'Master Dataset'!$AG$2:$AG$33,$B4)</f>
        <v>0</v>
      </c>
      <c r="E4" s="11" t="n">
        <f aca="false">C4-D4</f>
        <v>2</v>
      </c>
      <c r="F4" s="19" t="n">
        <f aca="false">IF(C4=0,0,D4/C4)</f>
        <v>0</v>
      </c>
      <c r="G4" s="11" t="n">
        <f aca="false">2*D4</f>
        <v>0</v>
      </c>
      <c r="H4" s="11" t="n">
        <f aca="false">COUNTIFS('Master Dataset'!$B$2:$B$33,$A4,'Master Dataset'!$AG$2:$AG$33,$B4,'Master Dataset'!$AR$2:$AR$33,$B4)</f>
        <v>0</v>
      </c>
      <c r="I4" s="11" t="n">
        <f aca="false">D4-H4</f>
        <v>0</v>
      </c>
      <c r="J4" s="11" t="n">
        <f aca="false">COUNTIFS('Master Dataset'!$B$2:$B$33,$A4,'Master Dataset'!$AA$2:$AA$33,$B4)</f>
        <v>2</v>
      </c>
      <c r="K4" s="21" t="n">
        <f aca="false">SUMIFS('Master Dataset'!$AE$2:$AE$33,'Master Dataset'!$B$2:$B$33,$A4,'Master Dataset'!$Y$2:$Y$33,$B4)+SUMIFS('Master Dataset'!$AF$2:$AF$33,'Master Dataset'!$B$2:$B$33,$A4,'Master Dataset'!$Z$2:$Z$33,$B4)</f>
        <v>190</v>
      </c>
      <c r="L4" s="11" t="n">
        <f aca="false">MAX(_xlfn.MAXIFS('Master Dataset'!$AE$2:$AE$33,'Master Dataset'!$B$2:$B$33,$A4,'Master Dataset'!$Y$2:$Y$33,$B4),_xlfn.MAXIFS('Master Dataset'!$AF$2:$AF$33,'Master Dataset'!$B$2:$B$33,$A4,'Master Dataset'!$Z$2:$Z$33,$B4))</f>
        <v>152</v>
      </c>
      <c r="M4" s="11" t="n">
        <f aca="false">MIN(IF(COUNTIFS('Master Dataset'!$B$2:$B$33,$A4,'Master Dataset'!$Y$2:$Y$33,$B4)&gt;0,_xlfn.MINIFS('Master Dataset'!$AE$2:$AE$33,'Master Dataset'!$B$2:$B$33,$A4,'Master Dataset'!$Y$2:$Y$33,$B4),9999),IF(COUNTIFS('Master Dataset'!$B$2:$B$33,$A4,'Master Dataset'!$Z$2:$Z$33,$B4)&gt;0,_xlfn.MINIFS('Master Dataset'!$AF$2:$AF$33,'Master Dataset'!$B$2:$B$33,$A4,'Master Dataset'!$Z$2:$Z$33,$B4),9999))</f>
        <v>38</v>
      </c>
      <c r="N4" s="18" t="n">
        <f aca="false">K4/C4</f>
        <v>95</v>
      </c>
      <c r="O4" s="10" t="str">
        <f aca="false">IF(INDEX('Master Dataset'!$AG$2:$AG$33,MATCH($A4&amp;"|Final",'Master Dataset'!$BF$2:$BF$33,0))=$B4,"Champions",IF(OR(INDEX('Master Dataset'!$Y$2:$Y$33,MATCH($A4&amp;"|Final",'Master Dataset'!$BF$2:$BF$33,0))=$B4,INDEX('Master Dataset'!$Z$2:$Z$33,MATCH($A4&amp;"|Final",'Master Dataset'!$BF$2:$BF$33,0))=$B4),"Runners-up",IF(COUNTIFS('Master Dataset'!$B$2:$B$33,$A4,'Master Dataset'!$H$2:$H$33,"Super Four",'Master Dataset'!$Y$2:$Y$33,$B4)+COUNTIFS('Master Dataset'!$B$2:$B$33,$A4,'Master Dataset'!$H$2:$H$33,"Super Four",'Master Dataset'!$Z$2:$Z$33,$B4)&gt;0,"Super Four","Group Stage")))</f>
        <v>Group Stage</v>
      </c>
    </row>
    <row r="5" customFormat="false" ht="15" hidden="false" customHeight="false" outlineLevel="0" collapsed="false">
      <c r="A5" s="10" t="s">
        <v>98</v>
      </c>
      <c r="B5" s="10" t="s">
        <v>130</v>
      </c>
      <c r="C5" s="11" t="n">
        <f aca="false">COUNTIFS('Master Dataset'!$B$2:$B$33,$A5,'Master Dataset'!$Y$2:$Y$33,$B5)+COUNTIFS('Master Dataset'!$B$2:$B$33,$A5,'Master Dataset'!$Z$2:$Z$33,$B5)</f>
        <v>5</v>
      </c>
      <c r="D5" s="11" t="n">
        <f aca="false">COUNTIFS('Master Dataset'!$B$2:$B$33,$A5,'Master Dataset'!$AG$2:$AG$33,$B5)</f>
        <v>3</v>
      </c>
      <c r="E5" s="11" t="n">
        <f aca="false">C5-D5</f>
        <v>2</v>
      </c>
      <c r="F5" s="19" t="n">
        <f aca="false">IF(C5=0,0,D5/C5)</f>
        <v>0.6</v>
      </c>
      <c r="G5" s="11" t="n">
        <f aca="false">2*D5</f>
        <v>6</v>
      </c>
      <c r="H5" s="11" t="n">
        <f aca="false">COUNTIFS('Master Dataset'!$B$2:$B$33,$A5,'Master Dataset'!$AG$2:$AG$33,$B5,'Master Dataset'!$AR$2:$AR$33,$B5)</f>
        <v>2</v>
      </c>
      <c r="I5" s="11" t="n">
        <f aca="false">D5-H5</f>
        <v>1</v>
      </c>
      <c r="J5" s="11" t="n">
        <f aca="false">COUNTIFS('Master Dataset'!$B$2:$B$33,$A5,'Master Dataset'!$AA$2:$AA$33,$B5)</f>
        <v>2</v>
      </c>
      <c r="K5" s="21" t="n">
        <f aca="false">SUMIFS('Master Dataset'!$AE$2:$AE$33,'Master Dataset'!$B$2:$B$33,$A5,'Master Dataset'!$Y$2:$Y$33,$B5)+SUMIFS('Master Dataset'!$AF$2:$AF$33,'Master Dataset'!$B$2:$B$33,$A5,'Master Dataset'!$Z$2:$Z$33,$B5)</f>
        <v>906</v>
      </c>
      <c r="L5" s="11" t="n">
        <f aca="false">MAX(_xlfn.MAXIFS('Master Dataset'!$AE$2:$AE$33,'Master Dataset'!$B$2:$B$33,$A5,'Master Dataset'!$Y$2:$Y$33,$B5),_xlfn.MAXIFS('Master Dataset'!$AF$2:$AF$33,'Master Dataset'!$B$2:$B$33,$A5,'Master Dataset'!$Z$2:$Z$33,$B5))</f>
        <v>212</v>
      </c>
      <c r="M5" s="11" t="n">
        <f aca="false">MIN(IF(COUNTIFS('Master Dataset'!$B$2:$B$33,$A5,'Master Dataset'!$Y$2:$Y$33,$B5)&gt;0,_xlfn.MINIFS('Master Dataset'!$AE$2:$AE$33,'Master Dataset'!$B$2:$B$33,$A5,'Master Dataset'!$Y$2:$Y$33,$B5),9999),IF(COUNTIFS('Master Dataset'!$B$2:$B$33,$A5,'Master Dataset'!$Z$2:$Z$33,$B5)&gt;0,_xlfn.MINIFS('Master Dataset'!$AF$2:$AF$33,'Master Dataset'!$B$2:$B$33,$A5,'Master Dataset'!$Z$2:$Z$33,$B5),9999))</f>
        <v>148</v>
      </c>
      <c r="N5" s="18" t="n">
        <f aca="false">K5/C5</f>
        <v>181.2</v>
      </c>
      <c r="O5" s="10" t="str">
        <f aca="false">IF(INDEX('Master Dataset'!$AG$2:$AG$33,MATCH($A5&amp;"|Final",'Master Dataset'!$BF$2:$BF$33,0))=$B5,"Champions",IF(OR(INDEX('Master Dataset'!$Y$2:$Y$33,MATCH($A5&amp;"|Final",'Master Dataset'!$BF$2:$BF$33,0))=$B5,INDEX('Master Dataset'!$Z$2:$Z$33,MATCH($A5&amp;"|Final",'Master Dataset'!$BF$2:$BF$33,0))=$B5),"Runners-up",IF(COUNTIFS('Master Dataset'!$B$2:$B$33,$A5,'Master Dataset'!$H$2:$H$33,"Super Four",'Master Dataset'!$Y$2:$Y$33,$B5)+COUNTIFS('Master Dataset'!$B$2:$B$33,$A5,'Master Dataset'!$H$2:$H$33,"Super Four",'Master Dataset'!$Z$2:$Z$33,$B5)&gt;0,"Super Four","Group Stage")))</f>
        <v>Super Four</v>
      </c>
    </row>
    <row r="6" customFormat="false" ht="15" hidden="false" customHeight="false" outlineLevel="0" collapsed="false">
      <c r="A6" s="10" t="s">
        <v>98</v>
      </c>
      <c r="B6" s="10" t="s">
        <v>129</v>
      </c>
      <c r="C6" s="11" t="n">
        <f aca="false">COUNTIFS('Master Dataset'!$B$2:$B$33,$A6,'Master Dataset'!$Y$2:$Y$33,$B6)+COUNTIFS('Master Dataset'!$B$2:$B$33,$A6,'Master Dataset'!$Z$2:$Z$33,$B6)</f>
        <v>6</v>
      </c>
      <c r="D6" s="11" t="n">
        <f aca="false">COUNTIFS('Master Dataset'!$B$2:$B$33,$A6,'Master Dataset'!$AG$2:$AG$33,$B6)</f>
        <v>3</v>
      </c>
      <c r="E6" s="11" t="n">
        <f aca="false">C6-D6</f>
        <v>3</v>
      </c>
      <c r="F6" s="19" t="n">
        <f aca="false">IF(C6=0,0,D6/C6)</f>
        <v>0.5</v>
      </c>
      <c r="G6" s="11" t="n">
        <f aca="false">2*D6</f>
        <v>6</v>
      </c>
      <c r="H6" s="11" t="n">
        <f aca="false">COUNTIFS('Master Dataset'!$B$2:$B$33,$A6,'Master Dataset'!$AG$2:$AG$33,$B6,'Master Dataset'!$AR$2:$AR$33,$B6)</f>
        <v>1</v>
      </c>
      <c r="I6" s="11" t="n">
        <f aca="false">D6-H6</f>
        <v>2</v>
      </c>
      <c r="J6" s="11" t="n">
        <f aca="false">COUNTIFS('Master Dataset'!$B$2:$B$33,$A6,'Master Dataset'!$AA$2:$AA$33,$B6)</f>
        <v>2</v>
      </c>
      <c r="K6" s="21" t="n">
        <f aca="false">SUMIFS('Master Dataset'!$AE$2:$AE$33,'Master Dataset'!$B$2:$B$33,$A6,'Master Dataset'!$Y$2:$Y$33,$B6)+SUMIFS('Master Dataset'!$AF$2:$AF$33,'Master Dataset'!$B$2:$B$33,$A6,'Master Dataset'!$Z$2:$Z$33,$B6)</f>
        <v>921</v>
      </c>
      <c r="L6" s="11" t="n">
        <f aca="false">MAX(_xlfn.MAXIFS('Master Dataset'!$AE$2:$AE$33,'Master Dataset'!$B$2:$B$33,$A6,'Master Dataset'!$Y$2:$Y$33,$B6),_xlfn.MAXIFS('Master Dataset'!$AF$2:$AF$33,'Master Dataset'!$B$2:$B$33,$A6,'Master Dataset'!$Z$2:$Z$33,$B6))</f>
        <v>193</v>
      </c>
      <c r="M6" s="11" t="n">
        <f aca="false">MIN(IF(COUNTIFS('Master Dataset'!$B$2:$B$33,$A6,'Master Dataset'!$Y$2:$Y$33,$B6)&gt;0,_xlfn.MINIFS('Master Dataset'!$AE$2:$AE$33,'Master Dataset'!$B$2:$B$33,$A6,'Master Dataset'!$Y$2:$Y$33,$B6),9999),IF(COUNTIFS('Master Dataset'!$B$2:$B$33,$A6,'Master Dataset'!$Z$2:$Z$33,$B6)&gt;0,_xlfn.MINIFS('Master Dataset'!$AF$2:$AF$33,'Master Dataset'!$B$2:$B$33,$A6,'Master Dataset'!$Z$2:$Z$33,$B6),9999))</f>
        <v>121</v>
      </c>
      <c r="N6" s="18" t="n">
        <f aca="false">K6/C6</f>
        <v>153.5</v>
      </c>
      <c r="O6" s="10" t="str">
        <f aca="false">IF(INDEX('Master Dataset'!$AG$2:$AG$33,MATCH($A6&amp;"|Final",'Master Dataset'!$BF$2:$BF$33,0))=$B6,"Champions",IF(OR(INDEX('Master Dataset'!$Y$2:$Y$33,MATCH($A6&amp;"|Final",'Master Dataset'!$BF$2:$BF$33,0))=$B6,INDEX('Master Dataset'!$Z$2:$Z$33,MATCH($A6&amp;"|Final",'Master Dataset'!$BF$2:$BF$33,0))=$B6),"Runners-up",IF(COUNTIFS('Master Dataset'!$B$2:$B$33,$A6,'Master Dataset'!$H$2:$H$33,"Super Four",'Master Dataset'!$Y$2:$Y$33,$B6)+COUNTIFS('Master Dataset'!$B$2:$B$33,$A6,'Master Dataset'!$H$2:$H$33,"Super Four",'Master Dataset'!$Z$2:$Z$33,$B6)&gt;0,"Super Four","Group Stage")))</f>
        <v>Runners-up</v>
      </c>
    </row>
    <row r="7" customFormat="false" ht="15" hidden="false" customHeight="false" outlineLevel="0" collapsed="false">
      <c r="A7" s="10" t="s">
        <v>98</v>
      </c>
      <c r="B7" s="10" t="s">
        <v>111</v>
      </c>
      <c r="C7" s="11" t="n">
        <f aca="false">COUNTIFS('Master Dataset'!$B$2:$B$33,$A7,'Master Dataset'!$Y$2:$Y$33,$B7)+COUNTIFS('Master Dataset'!$B$2:$B$33,$A7,'Master Dataset'!$Z$2:$Z$33,$B7)</f>
        <v>6</v>
      </c>
      <c r="D7" s="11" t="n">
        <f aca="false">COUNTIFS('Master Dataset'!$B$2:$B$33,$A7,'Master Dataset'!$AG$2:$AG$33,$B7)</f>
        <v>5</v>
      </c>
      <c r="E7" s="11" t="n">
        <f aca="false">C7-D7</f>
        <v>1</v>
      </c>
      <c r="F7" s="19" t="n">
        <f aca="false">IF(C7=0,0,D7/C7)</f>
        <v>0.833333333333333</v>
      </c>
      <c r="G7" s="11" t="n">
        <f aca="false">2*D7</f>
        <v>10</v>
      </c>
      <c r="H7" s="11" t="n">
        <f aca="false">COUNTIFS('Master Dataset'!$B$2:$B$33,$A7,'Master Dataset'!$AG$2:$AG$33,$B7,'Master Dataset'!$AR$2:$AR$33,$B7)</f>
        <v>1</v>
      </c>
      <c r="I7" s="11" t="n">
        <f aca="false">D7-H7</f>
        <v>4</v>
      </c>
      <c r="J7" s="11" t="n">
        <f aca="false">COUNTIFS('Master Dataset'!$B$2:$B$33,$A7,'Master Dataset'!$AA$2:$AA$33,$B7)</f>
        <v>4</v>
      </c>
      <c r="K7" s="21" t="n">
        <f aca="false">SUMIFS('Master Dataset'!$AE$2:$AE$33,'Master Dataset'!$B$2:$B$33,$A7,'Master Dataset'!$Y$2:$Y$33,$B7)+SUMIFS('Master Dataset'!$AF$2:$AF$33,'Master Dataset'!$B$2:$B$33,$A7,'Master Dataset'!$Z$2:$Z$33,$B7)</f>
        <v>936</v>
      </c>
      <c r="L7" s="11" t="n">
        <f aca="false">MAX(_xlfn.MAXIFS('Master Dataset'!$AE$2:$AE$33,'Master Dataset'!$B$2:$B$33,$A7,'Master Dataset'!$Y$2:$Y$33,$B7),_xlfn.MAXIFS('Master Dataset'!$AF$2:$AF$33,'Master Dataset'!$B$2:$B$33,$A7,'Master Dataset'!$Z$2:$Z$33,$B7))</f>
        <v>184</v>
      </c>
      <c r="M7" s="11" t="n">
        <f aca="false">MIN(IF(COUNTIFS('Master Dataset'!$B$2:$B$33,$A7,'Master Dataset'!$Y$2:$Y$33,$B7)&gt;0,_xlfn.MINIFS('Master Dataset'!$AE$2:$AE$33,'Master Dataset'!$B$2:$B$33,$A7,'Master Dataset'!$Y$2:$Y$33,$B7),9999),IF(COUNTIFS('Master Dataset'!$B$2:$B$33,$A7,'Master Dataset'!$Z$2:$Z$33,$B7)&gt;0,_xlfn.MINIFS('Master Dataset'!$AF$2:$AF$33,'Master Dataset'!$B$2:$B$33,$A7,'Master Dataset'!$Z$2:$Z$33,$B7),9999))</f>
        <v>105</v>
      </c>
      <c r="N7" s="18" t="n">
        <f aca="false">K7/C7</f>
        <v>156</v>
      </c>
      <c r="O7" s="10" t="str">
        <f aca="false">IF(INDEX('Master Dataset'!$AG$2:$AG$33,MATCH($A7&amp;"|Final",'Master Dataset'!$BF$2:$BF$33,0))=$B7,"Champions",IF(OR(INDEX('Master Dataset'!$Y$2:$Y$33,MATCH($A7&amp;"|Final",'Master Dataset'!$BF$2:$BF$33,0))=$B7,INDEX('Master Dataset'!$Z$2:$Z$33,MATCH($A7&amp;"|Final",'Master Dataset'!$BF$2:$BF$33,0))=$B7),"Runners-up",IF(COUNTIFS('Master Dataset'!$B$2:$B$33,$A7,'Master Dataset'!$H$2:$H$33,"Super Four",'Master Dataset'!$Y$2:$Y$33,$B7)+COUNTIFS('Master Dataset'!$B$2:$B$33,$A7,'Master Dataset'!$H$2:$H$33,"Super Four",'Master Dataset'!$Z$2:$Z$33,$B7)&gt;0,"Super Four","Group Stage")))</f>
        <v>Champions</v>
      </c>
    </row>
    <row r="8" customFormat="false" ht="15" hidden="false" customHeight="false" outlineLevel="0" collapsed="false">
      <c r="A8" s="10" t="s">
        <v>214</v>
      </c>
      <c r="B8" s="10" t="s">
        <v>112</v>
      </c>
      <c r="C8" s="11" t="n">
        <f aca="false">COUNTIFS('Master Dataset'!$B$2:$B$33,$A8,'Master Dataset'!$Y$2:$Y$33,$B8)+COUNTIFS('Master Dataset'!$B$2:$B$33,$A8,'Master Dataset'!$Z$2:$Z$33,$B8)</f>
        <v>3</v>
      </c>
      <c r="D8" s="11" t="n">
        <f aca="false">COUNTIFS('Master Dataset'!$B$2:$B$33,$A8,'Master Dataset'!$AG$2:$AG$33,$B8)</f>
        <v>1</v>
      </c>
      <c r="E8" s="11" t="n">
        <f aca="false">C8-D8</f>
        <v>2</v>
      </c>
      <c r="F8" s="19" t="n">
        <f aca="false">IF(C8=0,0,D8/C8)</f>
        <v>0.333333333333333</v>
      </c>
      <c r="G8" s="11" t="n">
        <f aca="false">2*D8</f>
        <v>2</v>
      </c>
      <c r="H8" s="11" t="n">
        <f aca="false">COUNTIFS('Master Dataset'!$B$2:$B$33,$A8,'Master Dataset'!$AG$2:$AG$33,$B8,'Master Dataset'!$AR$2:$AR$33,$B8)</f>
        <v>1</v>
      </c>
      <c r="I8" s="11" t="n">
        <f aca="false">D8-H8</f>
        <v>0</v>
      </c>
      <c r="J8" s="11" t="n">
        <f aca="false">COUNTIFS('Master Dataset'!$B$2:$B$33,$A8,'Master Dataset'!$AA$2:$AA$33,$B8)</f>
        <v>2</v>
      </c>
      <c r="K8" s="21" t="n">
        <f aca="false">SUMIFS('Master Dataset'!$AE$2:$AE$33,'Master Dataset'!$B$2:$B$33,$A8,'Master Dataset'!$Y$2:$Y$33,$B8)+SUMIFS('Master Dataset'!$AF$2:$AF$33,'Master Dataset'!$B$2:$B$33,$A8,'Master Dataset'!$Z$2:$Z$33,$B8)</f>
        <v>503</v>
      </c>
      <c r="L8" s="11" t="n">
        <f aca="false">MAX(_xlfn.MAXIFS('Master Dataset'!$AE$2:$AE$33,'Master Dataset'!$B$2:$B$33,$A8,'Master Dataset'!$Y$2:$Y$33,$B8),_xlfn.MAXIFS('Master Dataset'!$AF$2:$AF$33,'Master Dataset'!$B$2:$B$33,$A8,'Master Dataset'!$Z$2:$Z$33,$B8))</f>
        <v>188</v>
      </c>
      <c r="M8" s="11" t="n">
        <f aca="false">MIN(IF(COUNTIFS('Master Dataset'!$B$2:$B$33,$A8,'Master Dataset'!$Y$2:$Y$33,$B8)&gt;0,_xlfn.MINIFS('Master Dataset'!$AE$2:$AE$33,'Master Dataset'!$B$2:$B$33,$A8,'Master Dataset'!$Y$2:$Y$33,$B8),9999),IF(COUNTIFS('Master Dataset'!$B$2:$B$33,$A8,'Master Dataset'!$Z$2:$Z$33,$B8)&gt;0,_xlfn.MINIFS('Master Dataset'!$AF$2:$AF$33,'Master Dataset'!$B$2:$B$33,$A8,'Master Dataset'!$Z$2:$Z$33,$B8),9999))</f>
        <v>146</v>
      </c>
      <c r="N8" s="18" t="n">
        <f aca="false">K8/C8</f>
        <v>167.666666666667</v>
      </c>
      <c r="O8" s="10" t="str">
        <f aca="false">IF(INDEX('Master Dataset'!$AG$2:$AG$33,MATCH($A8&amp;"|Final",'Master Dataset'!$BF$2:$BF$33,0))=$B8,"Champions",IF(OR(INDEX('Master Dataset'!$Y$2:$Y$33,MATCH($A8&amp;"|Final",'Master Dataset'!$BF$2:$BF$33,0))=$B8,INDEX('Master Dataset'!$Z$2:$Z$33,MATCH($A8&amp;"|Final",'Master Dataset'!$BF$2:$BF$33,0))=$B8),"Runners-up",IF(COUNTIFS('Master Dataset'!$B$2:$B$33,$A8,'Master Dataset'!$H$2:$H$33,"Super Four",'Master Dataset'!$Y$2:$Y$33,$B8)+COUNTIFS('Master Dataset'!$B$2:$B$33,$A8,'Master Dataset'!$H$2:$H$33,"Super Four",'Master Dataset'!$Z$2:$Z$33,$B8)&gt;0,"Super Four","Group Stage")))</f>
        <v>Group Stage</v>
      </c>
    </row>
    <row r="9" customFormat="false" ht="15" hidden="false" customHeight="false" outlineLevel="0" collapsed="false">
      <c r="A9" s="10" t="s">
        <v>214</v>
      </c>
      <c r="B9" s="10" t="s">
        <v>144</v>
      </c>
      <c r="C9" s="11" t="n">
        <f aca="false">COUNTIFS('Master Dataset'!$B$2:$B$33,$A9,'Master Dataset'!$Y$2:$Y$33,$B9)+COUNTIFS('Master Dataset'!$B$2:$B$33,$A9,'Master Dataset'!$Z$2:$Z$33,$B9)</f>
        <v>6</v>
      </c>
      <c r="D9" s="11" t="n">
        <f aca="false">COUNTIFS('Master Dataset'!$B$2:$B$33,$A9,'Master Dataset'!$AG$2:$AG$33,$B9)</f>
        <v>3</v>
      </c>
      <c r="E9" s="11" t="n">
        <f aca="false">C9-D9</f>
        <v>3</v>
      </c>
      <c r="F9" s="19" t="n">
        <f aca="false">IF(C9=0,0,D9/C9)</f>
        <v>0.5</v>
      </c>
      <c r="G9" s="11" t="n">
        <f aca="false">2*D9</f>
        <v>6</v>
      </c>
      <c r="H9" s="11" t="n">
        <f aca="false">COUNTIFS('Master Dataset'!$B$2:$B$33,$A9,'Master Dataset'!$AG$2:$AG$33,$B9,'Master Dataset'!$AR$2:$AR$33,$B9)</f>
        <v>1</v>
      </c>
      <c r="I9" s="11" t="n">
        <f aca="false">D9-H9</f>
        <v>2</v>
      </c>
      <c r="J9" s="11" t="n">
        <f aca="false">COUNTIFS('Master Dataset'!$B$2:$B$33,$A9,'Master Dataset'!$AA$2:$AA$33,$B9)</f>
        <v>5</v>
      </c>
      <c r="K9" s="21" t="n">
        <f aca="false">SUMIFS('Master Dataset'!$AE$2:$AE$33,'Master Dataset'!$B$2:$B$33,$A9,'Master Dataset'!$Y$2:$Y$33,$B9)+SUMIFS('Master Dataset'!$AF$2:$AF$33,'Master Dataset'!$B$2:$B$33,$A9,'Master Dataset'!$Z$2:$Z$33,$B9)</f>
        <v>857</v>
      </c>
      <c r="L9" s="11" t="n">
        <f aca="false">MAX(_xlfn.MAXIFS('Master Dataset'!$AE$2:$AE$33,'Master Dataset'!$B$2:$B$33,$A9,'Master Dataset'!$Y$2:$Y$33,$B9),_xlfn.MAXIFS('Master Dataset'!$AF$2:$AF$33,'Master Dataset'!$B$2:$B$33,$A9,'Master Dataset'!$Z$2:$Z$33,$B9))</f>
        <v>169</v>
      </c>
      <c r="M9" s="11" t="n">
        <f aca="false">MIN(IF(COUNTIFS('Master Dataset'!$B$2:$B$33,$A9,'Master Dataset'!$Y$2:$Y$33,$B9)&gt;0,_xlfn.MINIFS('Master Dataset'!$AE$2:$AE$33,'Master Dataset'!$B$2:$B$33,$A9,'Master Dataset'!$Y$2:$Y$33,$B9),9999),IF(COUNTIFS('Master Dataset'!$B$2:$B$33,$A9,'Master Dataset'!$Z$2:$Z$33,$B9)&gt;0,_xlfn.MINIFS('Master Dataset'!$AF$2:$AF$33,'Master Dataset'!$B$2:$B$33,$A9,'Master Dataset'!$Z$2:$Z$33,$B9),9999))</f>
        <v>124</v>
      </c>
      <c r="N9" s="18" t="n">
        <f aca="false">K9/C9</f>
        <v>142.833333333333</v>
      </c>
      <c r="O9" s="10" t="str">
        <f aca="false">IF(INDEX('Master Dataset'!$AG$2:$AG$33,MATCH($A9&amp;"|Final",'Master Dataset'!$BF$2:$BF$33,0))=$B9,"Champions",IF(OR(INDEX('Master Dataset'!$Y$2:$Y$33,MATCH($A9&amp;"|Final",'Master Dataset'!$BF$2:$BF$33,0))=$B9,INDEX('Master Dataset'!$Z$2:$Z$33,MATCH($A9&amp;"|Final",'Master Dataset'!$BF$2:$BF$33,0))=$B9),"Runners-up",IF(COUNTIFS('Master Dataset'!$B$2:$B$33,$A9,'Master Dataset'!$H$2:$H$33,"Super Four",'Master Dataset'!$Y$2:$Y$33,$B9)+COUNTIFS('Master Dataset'!$B$2:$B$33,$A9,'Master Dataset'!$H$2:$H$33,"Super Four",'Master Dataset'!$Z$2:$Z$33,$B9)&gt;0,"Super Four","Group Stage")))</f>
        <v>Super Four</v>
      </c>
    </row>
    <row r="10" customFormat="false" ht="15" hidden="false" customHeight="false" outlineLevel="0" collapsed="false">
      <c r="A10" s="10" t="s">
        <v>214</v>
      </c>
      <c r="B10" s="10" t="s">
        <v>155</v>
      </c>
      <c r="C10" s="11" t="n">
        <f aca="false">COUNTIFS('Master Dataset'!$B$2:$B$33,$A10,'Master Dataset'!$Y$2:$Y$33,$B10)+COUNTIFS('Master Dataset'!$B$2:$B$33,$A10,'Master Dataset'!$Z$2:$Z$33,$B10)</f>
        <v>3</v>
      </c>
      <c r="D10" s="11" t="n">
        <f aca="false">COUNTIFS('Master Dataset'!$B$2:$B$33,$A10,'Master Dataset'!$AG$2:$AG$33,$B10)</f>
        <v>0</v>
      </c>
      <c r="E10" s="11" t="n">
        <f aca="false">C10-D10</f>
        <v>3</v>
      </c>
      <c r="F10" s="19" t="n">
        <f aca="false">IF(C10=0,0,D10/C10)</f>
        <v>0</v>
      </c>
      <c r="G10" s="11" t="n">
        <f aca="false">2*D10</f>
        <v>0</v>
      </c>
      <c r="H10" s="11" t="n">
        <f aca="false">COUNTIFS('Master Dataset'!$B$2:$B$33,$A10,'Master Dataset'!$AG$2:$AG$33,$B10,'Master Dataset'!$AR$2:$AR$33,$B10)</f>
        <v>0</v>
      </c>
      <c r="I10" s="11" t="n">
        <f aca="false">D10-H10</f>
        <v>0</v>
      </c>
      <c r="J10" s="11" t="n">
        <f aca="false">COUNTIFS('Master Dataset'!$B$2:$B$33,$A10,'Master Dataset'!$AA$2:$AA$33,$B10)</f>
        <v>0</v>
      </c>
      <c r="K10" s="21" t="n">
        <f aca="false">SUMIFS('Master Dataset'!$AE$2:$AE$33,'Master Dataset'!$B$2:$B$33,$A10,'Master Dataset'!$Y$2:$Y$33,$B10)+SUMIFS('Master Dataset'!$AF$2:$AF$33,'Master Dataset'!$B$2:$B$33,$A10,'Master Dataset'!$Z$2:$Z$33,$B10)</f>
        <v>386</v>
      </c>
      <c r="L10" s="11" t="n">
        <f aca="false">MAX(_xlfn.MAXIFS('Master Dataset'!$AE$2:$AE$33,'Master Dataset'!$B$2:$B$33,$A10,'Master Dataset'!$Y$2:$Y$33,$B10),_xlfn.MAXIFS('Master Dataset'!$AF$2:$AF$33,'Master Dataset'!$B$2:$B$33,$A10,'Master Dataset'!$Z$2:$Z$33,$B10))</f>
        <v>149</v>
      </c>
      <c r="M10" s="11" t="n">
        <f aca="false">MIN(IF(COUNTIFS('Master Dataset'!$B$2:$B$33,$A10,'Master Dataset'!$Y$2:$Y$33,$B10)&gt;0,_xlfn.MINIFS('Master Dataset'!$AE$2:$AE$33,'Master Dataset'!$B$2:$B$33,$A10,'Master Dataset'!$Y$2:$Y$33,$B10),9999),IF(COUNTIFS('Master Dataset'!$B$2:$B$33,$A10,'Master Dataset'!$Z$2:$Z$33,$B10)&gt;0,_xlfn.MINIFS('Master Dataset'!$AF$2:$AF$33,'Master Dataset'!$B$2:$B$33,$A10,'Master Dataset'!$Z$2:$Z$33,$B10),9999))</f>
        <v>94</v>
      </c>
      <c r="N10" s="18" t="n">
        <f aca="false">K10/C10</f>
        <v>128.666666666667</v>
      </c>
      <c r="O10" s="10" t="str">
        <f aca="false">IF(INDEX('Master Dataset'!$AG$2:$AG$33,MATCH($A10&amp;"|Final",'Master Dataset'!$BF$2:$BF$33,0))=$B10,"Champions",IF(OR(INDEX('Master Dataset'!$Y$2:$Y$33,MATCH($A10&amp;"|Final",'Master Dataset'!$BF$2:$BF$33,0))=$B10,INDEX('Master Dataset'!$Z$2:$Z$33,MATCH($A10&amp;"|Final",'Master Dataset'!$BF$2:$BF$33,0))=$B10),"Runners-up",IF(COUNTIFS('Master Dataset'!$B$2:$B$33,$A10,'Master Dataset'!$H$2:$H$33,"Super Four",'Master Dataset'!$Y$2:$Y$33,$B10)+COUNTIFS('Master Dataset'!$B$2:$B$33,$A10,'Master Dataset'!$H$2:$H$33,"Super Four",'Master Dataset'!$Z$2:$Z$33,$B10)&gt;0,"Super Four","Group Stage")))</f>
        <v>Group Stage</v>
      </c>
    </row>
    <row r="11" customFormat="false" ht="15" hidden="false" customHeight="false" outlineLevel="0" collapsed="false">
      <c r="A11" s="10" t="s">
        <v>214</v>
      </c>
      <c r="B11" s="10" t="s">
        <v>130</v>
      </c>
      <c r="C11" s="11" t="n">
        <f aca="false">COUNTIFS('Master Dataset'!$B$2:$B$33,$A11,'Master Dataset'!$Y$2:$Y$33,$B11)+COUNTIFS('Master Dataset'!$B$2:$B$33,$A11,'Master Dataset'!$Z$2:$Z$33,$B11)</f>
        <v>7</v>
      </c>
      <c r="D11" s="11" t="n">
        <f aca="false">COUNTIFS('Master Dataset'!$B$2:$B$33,$A11,'Master Dataset'!$AG$2:$AG$33,$B11)</f>
        <v>7</v>
      </c>
      <c r="E11" s="11" t="n">
        <f aca="false">C11-D11</f>
        <v>0</v>
      </c>
      <c r="F11" s="19" t="n">
        <f aca="false">IF(C11=0,0,D11/C11)</f>
        <v>1</v>
      </c>
      <c r="G11" s="11" t="n">
        <f aca="false">2*D11</f>
        <v>14</v>
      </c>
      <c r="H11" s="11" t="n">
        <f aca="false">COUNTIFS('Master Dataset'!$B$2:$B$33,$A11,'Master Dataset'!$AG$2:$AG$33,$B11,'Master Dataset'!$AR$2:$AR$33,$B11)</f>
        <v>3</v>
      </c>
      <c r="I11" s="11" t="n">
        <f aca="false">D11-H11</f>
        <v>4</v>
      </c>
      <c r="J11" s="11" t="n">
        <f aca="false">COUNTIFS('Master Dataset'!$B$2:$B$33,$A11,'Master Dataset'!$AA$2:$AA$33,$B11)</f>
        <v>4</v>
      </c>
      <c r="K11" s="21" t="n">
        <f aca="false">SUMIFS('Master Dataset'!$AE$2:$AE$33,'Master Dataset'!$B$2:$B$33,$A11,'Master Dataset'!$Y$2:$Y$33,$B11)+SUMIFS('Master Dataset'!$AF$2:$AF$33,'Master Dataset'!$B$2:$B$33,$A11,'Master Dataset'!$Z$2:$Z$33,$B11)</f>
        <v>1073</v>
      </c>
      <c r="L11" s="11" t="n">
        <f aca="false">MAX(_xlfn.MAXIFS('Master Dataset'!$AE$2:$AE$33,'Master Dataset'!$B$2:$B$33,$A11,'Master Dataset'!$Y$2:$Y$33,$B11),_xlfn.MAXIFS('Master Dataset'!$AF$2:$AF$33,'Master Dataset'!$B$2:$B$33,$A11,'Master Dataset'!$Z$2:$Z$33,$B11))</f>
        <v>202</v>
      </c>
      <c r="M11" s="11" t="n">
        <f aca="false">MIN(IF(COUNTIFS('Master Dataset'!$B$2:$B$33,$A11,'Master Dataset'!$Y$2:$Y$33,$B11)&gt;0,_xlfn.MINIFS('Master Dataset'!$AE$2:$AE$33,'Master Dataset'!$B$2:$B$33,$A11,'Master Dataset'!$Y$2:$Y$33,$B11),9999),IF(COUNTIFS('Master Dataset'!$B$2:$B$33,$A11,'Master Dataset'!$Z$2:$Z$33,$B11)&gt;0,_xlfn.MINIFS('Master Dataset'!$AF$2:$AF$33,'Master Dataset'!$B$2:$B$33,$A11,'Master Dataset'!$Z$2:$Z$33,$B11),9999))</f>
        <v>60</v>
      </c>
      <c r="N11" s="18" t="n">
        <f aca="false">K11/C11</f>
        <v>153.285714285714</v>
      </c>
      <c r="O11" s="10" t="str">
        <f aca="false">IF(INDEX('Master Dataset'!$AG$2:$AG$33,MATCH($A11&amp;"|Final",'Master Dataset'!$BF$2:$BF$33,0))=$B11,"Champions",IF(OR(INDEX('Master Dataset'!$Y$2:$Y$33,MATCH($A11&amp;"|Final",'Master Dataset'!$BF$2:$BF$33,0))=$B11,INDEX('Master Dataset'!$Z$2:$Z$33,MATCH($A11&amp;"|Final",'Master Dataset'!$BF$2:$BF$33,0))=$B11),"Runners-up",IF(COUNTIFS('Master Dataset'!$B$2:$B$33,$A11,'Master Dataset'!$H$2:$H$33,"Super Four",'Master Dataset'!$Y$2:$Y$33,$B11)+COUNTIFS('Master Dataset'!$B$2:$B$33,$A11,'Master Dataset'!$H$2:$H$33,"Super Four",'Master Dataset'!$Z$2:$Z$33,$B11)&gt;0,"Super Four","Group Stage")))</f>
        <v>Champions</v>
      </c>
    </row>
    <row r="12" customFormat="false" ht="15" hidden="false" customHeight="false" outlineLevel="0" collapsed="false">
      <c r="A12" s="10" t="s">
        <v>214</v>
      </c>
      <c r="B12" s="10" t="s">
        <v>244</v>
      </c>
      <c r="C12" s="11" t="n">
        <f aca="false">COUNTIFS('Master Dataset'!$B$2:$B$33,$A12,'Master Dataset'!$Y$2:$Y$33,$B12)+COUNTIFS('Master Dataset'!$B$2:$B$33,$A12,'Master Dataset'!$Z$2:$Z$33,$B12)</f>
        <v>3</v>
      </c>
      <c r="D12" s="11" t="n">
        <f aca="false">COUNTIFS('Master Dataset'!$B$2:$B$33,$A12,'Master Dataset'!$AG$2:$AG$33,$B12)</f>
        <v>0</v>
      </c>
      <c r="E12" s="11" t="n">
        <f aca="false">C12-D12</f>
        <v>3</v>
      </c>
      <c r="F12" s="19" t="n">
        <f aca="false">IF(C12=0,0,D12/C12)</f>
        <v>0</v>
      </c>
      <c r="G12" s="11" t="n">
        <f aca="false">2*D12</f>
        <v>0</v>
      </c>
      <c r="H12" s="11" t="n">
        <f aca="false">COUNTIFS('Master Dataset'!$B$2:$B$33,$A12,'Master Dataset'!$AG$2:$AG$33,$B12,'Master Dataset'!$AR$2:$AR$33,$B12)</f>
        <v>0</v>
      </c>
      <c r="I12" s="11" t="n">
        <f aca="false">D12-H12</f>
        <v>0</v>
      </c>
      <c r="J12" s="11" t="n">
        <f aca="false">COUNTIFS('Master Dataset'!$B$2:$B$33,$A12,'Master Dataset'!$AA$2:$AA$33,$B12)</f>
        <v>1</v>
      </c>
      <c r="K12" s="21" t="n">
        <f aca="false">SUMIFS('Master Dataset'!$AE$2:$AE$33,'Master Dataset'!$B$2:$B$33,$A12,'Master Dataset'!$Y$2:$Y$33,$B12)+SUMIFS('Master Dataset'!$AF$2:$AF$33,'Master Dataset'!$B$2:$B$33,$A12,'Master Dataset'!$Z$2:$Z$33,$B12)</f>
        <v>364</v>
      </c>
      <c r="L12" s="11" t="n">
        <f aca="false">MAX(_xlfn.MAXIFS('Master Dataset'!$AE$2:$AE$33,'Master Dataset'!$B$2:$B$33,$A12,'Master Dataset'!$Y$2:$Y$33,$B12),_xlfn.MAXIFS('Master Dataset'!$AF$2:$AF$33,'Master Dataset'!$B$2:$B$33,$A12,'Master Dataset'!$Z$2:$Z$33,$B12))</f>
        <v>167</v>
      </c>
      <c r="M12" s="11" t="n">
        <f aca="false">MIN(IF(COUNTIFS('Master Dataset'!$B$2:$B$33,$A12,'Master Dataset'!$Y$2:$Y$33,$B12)&gt;0,_xlfn.MINIFS('Master Dataset'!$AE$2:$AE$33,'Master Dataset'!$B$2:$B$33,$A12,'Master Dataset'!$Y$2:$Y$33,$B12),9999),IF(COUNTIFS('Master Dataset'!$B$2:$B$33,$A12,'Master Dataset'!$Z$2:$Z$33,$B12)&gt;0,_xlfn.MINIFS('Master Dataset'!$AF$2:$AF$33,'Master Dataset'!$B$2:$B$33,$A12,'Master Dataset'!$Z$2:$Z$33,$B12),9999))</f>
        <v>67</v>
      </c>
      <c r="N12" s="18" t="n">
        <f aca="false">K12/C12</f>
        <v>121.333333333333</v>
      </c>
      <c r="O12" s="10" t="str">
        <f aca="false">IF(INDEX('Master Dataset'!$AG$2:$AG$33,MATCH($A12&amp;"|Final",'Master Dataset'!$BF$2:$BF$33,0))=$B12,"Champions",IF(OR(INDEX('Master Dataset'!$Y$2:$Y$33,MATCH($A12&amp;"|Final",'Master Dataset'!$BF$2:$BF$33,0))=$B12,INDEX('Master Dataset'!$Z$2:$Z$33,MATCH($A12&amp;"|Final",'Master Dataset'!$BF$2:$BF$33,0))=$B12),"Runners-up",IF(COUNTIFS('Master Dataset'!$B$2:$B$33,$A12,'Master Dataset'!$H$2:$H$33,"Super Four",'Master Dataset'!$Y$2:$Y$33,$B12)+COUNTIFS('Master Dataset'!$B$2:$B$33,$A12,'Master Dataset'!$H$2:$H$33,"Super Four",'Master Dataset'!$Z$2:$Z$33,$B12)&gt;0,"Super Four","Group Stage")))</f>
        <v>Group Stage</v>
      </c>
    </row>
    <row r="13" customFormat="false" ht="15" hidden="false" customHeight="false" outlineLevel="0" collapsed="false">
      <c r="A13" s="10" t="s">
        <v>214</v>
      </c>
      <c r="B13" s="10" t="s">
        <v>129</v>
      </c>
      <c r="C13" s="11" t="n">
        <f aca="false">COUNTIFS('Master Dataset'!$B$2:$B$33,$A13,'Master Dataset'!$Y$2:$Y$33,$B13)+COUNTIFS('Master Dataset'!$B$2:$B$33,$A13,'Master Dataset'!$Z$2:$Z$33,$B13)</f>
        <v>7</v>
      </c>
      <c r="D13" s="11" t="n">
        <f aca="false">COUNTIFS('Master Dataset'!$B$2:$B$33,$A13,'Master Dataset'!$AG$2:$AG$33,$B13)</f>
        <v>4</v>
      </c>
      <c r="E13" s="11" t="n">
        <f aca="false">C13-D13</f>
        <v>3</v>
      </c>
      <c r="F13" s="19" t="n">
        <f aca="false">IF(C13=0,0,D13/C13)</f>
        <v>0.571428571428571</v>
      </c>
      <c r="G13" s="11" t="n">
        <f aca="false">2*D13</f>
        <v>8</v>
      </c>
      <c r="H13" s="11" t="n">
        <f aca="false">COUNTIFS('Master Dataset'!$B$2:$B$33,$A13,'Master Dataset'!$AG$2:$AG$33,$B13,'Master Dataset'!$AR$2:$AR$33,$B13)</f>
        <v>3</v>
      </c>
      <c r="I13" s="11" t="n">
        <f aca="false">D13-H13</f>
        <v>1</v>
      </c>
      <c r="J13" s="11" t="n">
        <f aca="false">COUNTIFS('Master Dataset'!$B$2:$B$33,$A13,'Master Dataset'!$AA$2:$AA$33,$B13)</f>
        <v>3</v>
      </c>
      <c r="K13" s="21" t="n">
        <f aca="false">SUMIFS('Master Dataset'!$AE$2:$AE$33,'Master Dataset'!$B$2:$B$33,$A13,'Master Dataset'!$Y$2:$Y$33,$B13)+SUMIFS('Master Dataset'!$AF$2:$AF$33,'Master Dataset'!$B$2:$B$33,$A13,'Master Dataset'!$Z$2:$Z$33,$B13)</f>
        <v>1023</v>
      </c>
      <c r="L13" s="11" t="n">
        <f aca="false">MAX(_xlfn.MAXIFS('Master Dataset'!$AE$2:$AE$33,'Master Dataset'!$B$2:$B$33,$A13,'Master Dataset'!$Y$2:$Y$33,$B13),_xlfn.MAXIFS('Master Dataset'!$AF$2:$AF$33,'Master Dataset'!$B$2:$B$33,$A13,'Master Dataset'!$Z$2:$Z$33,$B13))</f>
        <v>171</v>
      </c>
      <c r="M13" s="11" t="n">
        <f aca="false">MIN(IF(COUNTIFS('Master Dataset'!$B$2:$B$33,$A13,'Master Dataset'!$Y$2:$Y$33,$B13)&gt;0,_xlfn.MINIFS('Master Dataset'!$AE$2:$AE$33,'Master Dataset'!$B$2:$B$33,$A13,'Master Dataset'!$Y$2:$Y$33,$B13),9999),IF(COUNTIFS('Master Dataset'!$B$2:$B$33,$A13,'Master Dataset'!$Z$2:$Z$33,$B13)&gt;0,_xlfn.MINIFS('Master Dataset'!$AF$2:$AF$33,'Master Dataset'!$B$2:$B$33,$A13,'Master Dataset'!$Z$2:$Z$33,$B13),9999))</f>
        <v>127</v>
      </c>
      <c r="N13" s="18" t="n">
        <f aca="false">K13/C13</f>
        <v>146.142857142857</v>
      </c>
      <c r="O13" s="10" t="str">
        <f aca="false">IF(INDEX('Master Dataset'!$AG$2:$AG$33,MATCH($A13&amp;"|Final",'Master Dataset'!$BF$2:$BF$33,0))=$B13,"Champions",IF(OR(INDEX('Master Dataset'!$Y$2:$Y$33,MATCH($A13&amp;"|Final",'Master Dataset'!$BF$2:$BF$33,0))=$B13,INDEX('Master Dataset'!$Z$2:$Z$33,MATCH($A13&amp;"|Final",'Master Dataset'!$BF$2:$BF$33,0))=$B13),"Runners-up",IF(COUNTIFS('Master Dataset'!$B$2:$B$33,$A13,'Master Dataset'!$H$2:$H$33,"Super Four",'Master Dataset'!$Y$2:$Y$33,$B13)+COUNTIFS('Master Dataset'!$B$2:$B$33,$A13,'Master Dataset'!$H$2:$H$33,"Super Four",'Master Dataset'!$Z$2:$Z$33,$B13)&gt;0,"Super Four","Group Stage")))</f>
        <v>Runners-up</v>
      </c>
    </row>
    <row r="14" customFormat="false" ht="15" hidden="false" customHeight="false" outlineLevel="0" collapsed="false">
      <c r="A14" s="10" t="s">
        <v>214</v>
      </c>
      <c r="B14" s="10" t="s">
        <v>111</v>
      </c>
      <c r="C14" s="11" t="n">
        <f aca="false">COUNTIFS('Master Dataset'!$B$2:$B$33,$A14,'Master Dataset'!$Y$2:$Y$33,$B14)+COUNTIFS('Master Dataset'!$B$2:$B$33,$A14,'Master Dataset'!$Z$2:$Z$33,$B14)</f>
        <v>6</v>
      </c>
      <c r="D14" s="11" t="n">
        <f aca="false">COUNTIFS('Master Dataset'!$B$2:$B$33,$A14,'Master Dataset'!$AG$2:$AG$33,$B14)</f>
        <v>3</v>
      </c>
      <c r="E14" s="11" t="n">
        <f aca="false">C14-D14</f>
        <v>3</v>
      </c>
      <c r="F14" s="19" t="n">
        <f aca="false">IF(C14=0,0,D14/C14)</f>
        <v>0.5</v>
      </c>
      <c r="G14" s="11" t="n">
        <f aca="false">2*D14</f>
        <v>6</v>
      </c>
      <c r="H14" s="11" t="n">
        <f aca="false">COUNTIFS('Master Dataset'!$B$2:$B$33,$A14,'Master Dataset'!$AG$2:$AG$33,$B14,'Master Dataset'!$AR$2:$AR$33,$B14)</f>
        <v>0</v>
      </c>
      <c r="I14" s="11" t="n">
        <f aca="false">D14-H14</f>
        <v>3</v>
      </c>
      <c r="J14" s="11" t="n">
        <f aca="false">COUNTIFS('Master Dataset'!$B$2:$B$33,$A14,'Master Dataset'!$AA$2:$AA$33,$B14)</f>
        <v>3</v>
      </c>
      <c r="K14" s="21" t="n">
        <f aca="false">SUMIFS('Master Dataset'!$AE$2:$AE$33,'Master Dataset'!$B$2:$B$33,$A14,'Master Dataset'!$Y$2:$Y$33,$B14)+SUMIFS('Master Dataset'!$AF$2:$AF$33,'Master Dataset'!$B$2:$B$33,$A14,'Master Dataset'!$Z$2:$Z$33,$B14)</f>
        <v>967</v>
      </c>
      <c r="L14" s="11" t="n">
        <f aca="false">MAX(_xlfn.MAXIFS('Master Dataset'!$AE$2:$AE$33,'Master Dataset'!$B$2:$B$33,$A14,'Master Dataset'!$Y$2:$Y$33,$B14),_xlfn.MAXIFS('Master Dataset'!$AF$2:$AF$33,'Master Dataset'!$B$2:$B$33,$A14,'Master Dataset'!$Z$2:$Z$33,$B14))</f>
        <v>202</v>
      </c>
      <c r="M14" s="11" t="n">
        <f aca="false">MIN(IF(COUNTIFS('Master Dataset'!$B$2:$B$33,$A14,'Master Dataset'!$Y$2:$Y$33,$B14)&gt;0,_xlfn.MINIFS('Master Dataset'!$AE$2:$AE$33,'Master Dataset'!$B$2:$B$33,$A14,'Master Dataset'!$Y$2:$Y$33,$B14),9999),IF(COUNTIFS('Master Dataset'!$B$2:$B$33,$A14,'Master Dataset'!$Z$2:$Z$33,$B14)&gt;0,_xlfn.MINIFS('Master Dataset'!$AF$2:$AF$33,'Master Dataset'!$B$2:$B$33,$A14,'Master Dataset'!$Z$2:$Z$33,$B14),9999))</f>
        <v>133</v>
      </c>
      <c r="N14" s="18" t="n">
        <f aca="false">K14/C14</f>
        <v>161.166666666667</v>
      </c>
      <c r="O14" s="10" t="str">
        <f aca="false">IF(INDEX('Master Dataset'!$AG$2:$AG$33,MATCH($A14&amp;"|Final",'Master Dataset'!$BF$2:$BF$33,0))=$B14,"Champions",IF(OR(INDEX('Master Dataset'!$Y$2:$Y$33,MATCH($A14&amp;"|Final",'Master Dataset'!$BF$2:$BF$33,0))=$B14,INDEX('Master Dataset'!$Z$2:$Z$33,MATCH($A14&amp;"|Final",'Master Dataset'!$BF$2:$BF$33,0))=$B14),"Runners-up",IF(COUNTIFS('Master Dataset'!$B$2:$B$33,$A14,'Master Dataset'!$H$2:$H$33,"Super Four",'Master Dataset'!$Y$2:$Y$33,$B14)+COUNTIFS('Master Dataset'!$B$2:$B$33,$A14,'Master Dataset'!$H$2:$H$33,"Super Four",'Master Dataset'!$Z$2:$Z$33,$B14)&gt;0,"Super Four","Group Stage")))</f>
        <v>Super Four</v>
      </c>
    </row>
    <row r="15" customFormat="false" ht="15" hidden="false" customHeight="false" outlineLevel="0" collapsed="false">
      <c r="A15" s="10" t="s">
        <v>214</v>
      </c>
      <c r="B15" s="10" t="s">
        <v>230</v>
      </c>
      <c r="C15" s="11" t="n">
        <f aca="false">COUNTIFS('Master Dataset'!$B$2:$B$33,$A15,'Master Dataset'!$Y$2:$Y$33,$B15)+COUNTIFS('Master Dataset'!$B$2:$B$33,$A15,'Master Dataset'!$Z$2:$Z$33,$B15)</f>
        <v>3</v>
      </c>
      <c r="D15" s="11" t="n">
        <f aca="false">COUNTIFS('Master Dataset'!$B$2:$B$33,$A15,'Master Dataset'!$AG$2:$AG$33,$B15)</f>
        <v>1</v>
      </c>
      <c r="E15" s="11" t="n">
        <f aca="false">C15-D15</f>
        <v>2</v>
      </c>
      <c r="F15" s="19" t="n">
        <f aca="false">IF(C15=0,0,D15/C15)</f>
        <v>0.333333333333333</v>
      </c>
      <c r="G15" s="11" t="n">
        <f aca="false">2*D15</f>
        <v>2</v>
      </c>
      <c r="H15" s="11" t="n">
        <f aca="false">COUNTIFS('Master Dataset'!$B$2:$B$33,$A15,'Master Dataset'!$AG$2:$AG$33,$B15,'Master Dataset'!$AR$2:$AR$33,$B15)</f>
        <v>1</v>
      </c>
      <c r="I15" s="11" t="n">
        <f aca="false">D15-H15</f>
        <v>0</v>
      </c>
      <c r="J15" s="11" t="n">
        <f aca="false">COUNTIFS('Master Dataset'!$B$2:$B$33,$A15,'Master Dataset'!$AA$2:$AA$33,$B15)</f>
        <v>1</v>
      </c>
      <c r="K15" s="21" t="n">
        <f aca="false">SUMIFS('Master Dataset'!$AE$2:$AE$33,'Master Dataset'!$B$2:$B$33,$A15,'Master Dataset'!$Y$2:$Y$33,$B15)+SUMIFS('Master Dataset'!$AF$2:$AF$33,'Master Dataset'!$B$2:$B$33,$A15,'Master Dataset'!$Z$2:$Z$33,$B15)</f>
        <v>334</v>
      </c>
      <c r="L15" s="11" t="n">
        <f aca="false">MAX(_xlfn.MAXIFS('Master Dataset'!$AE$2:$AE$33,'Master Dataset'!$B$2:$B$33,$A15,'Master Dataset'!$Y$2:$Y$33,$B15),_xlfn.MAXIFS('Master Dataset'!$AF$2:$AF$33,'Master Dataset'!$B$2:$B$33,$A15,'Master Dataset'!$Z$2:$Z$33,$B15))</f>
        <v>172</v>
      </c>
      <c r="M15" s="11" t="n">
        <f aca="false">MIN(IF(COUNTIFS('Master Dataset'!$B$2:$B$33,$A15,'Master Dataset'!$Y$2:$Y$33,$B15)&gt;0,_xlfn.MINIFS('Master Dataset'!$AE$2:$AE$33,'Master Dataset'!$B$2:$B$33,$A15,'Master Dataset'!$Y$2:$Y$33,$B15),9999),IF(COUNTIFS('Master Dataset'!$B$2:$B$33,$A15,'Master Dataset'!$Z$2:$Z$33,$B15)&gt;0,_xlfn.MINIFS('Master Dataset'!$AF$2:$AF$33,'Master Dataset'!$B$2:$B$33,$A15,'Master Dataset'!$Z$2:$Z$33,$B15),9999))</f>
        <v>57</v>
      </c>
      <c r="N15" s="18" t="n">
        <f aca="false">K15/C15</f>
        <v>111.333333333333</v>
      </c>
      <c r="O15" s="10" t="str">
        <f aca="false">IF(INDEX('Master Dataset'!$AG$2:$AG$33,MATCH($A15&amp;"|Final",'Master Dataset'!$BF$2:$BF$33,0))=$B15,"Champions",IF(OR(INDEX('Master Dataset'!$Y$2:$Y$33,MATCH($A15&amp;"|Final",'Master Dataset'!$BF$2:$BF$33,0))=$B15,INDEX('Master Dataset'!$Z$2:$Z$33,MATCH($A15&amp;"|Final",'Master Dataset'!$BF$2:$BF$33,0))=$B15),"Runners-up",IF(COUNTIFS('Master Dataset'!$B$2:$B$33,$A15,'Master Dataset'!$H$2:$H$33,"Super Four",'Master Dataset'!$Y$2:$Y$33,$B15)+COUNTIFS('Master Dataset'!$B$2:$B$33,$A15,'Master Dataset'!$H$2:$H$33,"Super Four",'Master Dataset'!$Z$2:$Z$33,$B15)&gt;0,"Super Four","Group Stage")))</f>
        <v>Group Stage</v>
      </c>
    </row>
    <row r="17" customFormat="false" ht="15" hidden="false" customHeight="false" outlineLevel="0" collapsed="false">
      <c r="A17" s="22" t="s">
        <v>650</v>
      </c>
    </row>
  </sheetData>
  <autoFilter ref="A1:O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6"/>
    <col collapsed="false" customWidth="true" hidden="false" outlineLevel="0" max="8" min="8" style="0" width="3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4" min="12" style="0" width="13"/>
    <col collapsed="false" customWidth="true" hidden="false" outlineLevel="0" max="16" min="15" style="0" width="14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2"/>
    <col collapsed="false" customWidth="true" hidden="false" outlineLevel="0" max="20" min="20" style="0" width="14"/>
  </cols>
  <sheetData>
    <row r="1" customFormat="false" ht="42" hidden="false" customHeight="true" outlineLevel="0" collapsed="false">
      <c r="A1" s="9" t="s">
        <v>45</v>
      </c>
      <c r="B1" s="9" t="s">
        <v>651</v>
      </c>
      <c r="C1" s="9" t="s">
        <v>56</v>
      </c>
      <c r="D1" s="9" t="s">
        <v>652</v>
      </c>
      <c r="E1" s="9" t="s">
        <v>637</v>
      </c>
      <c r="F1" s="9" t="s">
        <v>653</v>
      </c>
      <c r="G1" s="9" t="s">
        <v>654</v>
      </c>
      <c r="H1" s="9" t="s">
        <v>655</v>
      </c>
      <c r="I1" s="9" t="s">
        <v>656</v>
      </c>
      <c r="J1" s="9" t="s">
        <v>657</v>
      </c>
      <c r="K1" s="9" t="s">
        <v>658</v>
      </c>
      <c r="L1" s="9" t="s">
        <v>659</v>
      </c>
      <c r="M1" s="9" t="s">
        <v>660</v>
      </c>
      <c r="N1" s="9" t="s">
        <v>661</v>
      </c>
      <c r="O1" s="9" t="s">
        <v>662</v>
      </c>
      <c r="P1" s="9" t="s">
        <v>663</v>
      </c>
      <c r="Q1" s="9" t="s">
        <v>642</v>
      </c>
      <c r="R1" s="9" t="s">
        <v>643</v>
      </c>
      <c r="S1" s="9" t="s">
        <v>664</v>
      </c>
      <c r="T1" s="9" t="s">
        <v>31</v>
      </c>
    </row>
    <row r="2" customFormat="false" ht="15" hidden="false" customHeight="false" outlineLevel="0" collapsed="false">
      <c r="A2" s="10" t="s">
        <v>98</v>
      </c>
      <c r="B2" s="10" t="s">
        <v>665</v>
      </c>
      <c r="C2" s="10" t="s">
        <v>106</v>
      </c>
      <c r="D2" s="11" t="n">
        <v>6</v>
      </c>
      <c r="E2" s="11" t="n">
        <f aca="false">COUNTIFS('Master Dataset'!$B$2:$B$33,$A2)</f>
        <v>13</v>
      </c>
      <c r="F2" s="10" t="str">
        <f aca="false">INDEX('Master Dataset'!$AG$2:$AG$33,MATCH($A2&amp;"|Final",'Master Dataset'!$BF$2:$BF$33,0))</f>
        <v>Sri Lanka</v>
      </c>
      <c r="G2" s="10" t="str">
        <f aca="false">INDEX('Master Dataset'!$AV$2:$AV$33,MATCH($A2&amp;"|Final",'Master Dataset'!$BF$2:$BF$33,0))</f>
        <v>Pakistan</v>
      </c>
      <c r="H2" s="10" t="str">
        <f aca="false">INDEX('Master Dataset'!$J$2:$J$33,MATCH($A2&amp;"|Final",'Master Dataset'!$BF$2:$BF$33,0))</f>
        <v>Dubai International Cricket Stadium</v>
      </c>
      <c r="I2" s="12" t="n">
        <f aca="false">INDEX('Master Dataset'!$F$2:$F$33,MATCH($A2&amp;"|Final",'Master Dataset'!$BF$2:$BF$33,0))</f>
        <v>44815</v>
      </c>
      <c r="J2" s="10" t="str">
        <f aca="false">INDEX('Master Dataset'!$AH$2:$AH$33,MATCH($A2&amp;"|Final",'Master Dataset'!$BF$2:$BF$33,0))</f>
        <v>Bhanuka Rajapaksa</v>
      </c>
      <c r="K2" s="21" t="n">
        <f aca="false">SUMIFS('Master Dataset'!$BB$2:$BB$33,'Master Dataset'!$B$2:$B$33,$A2)</f>
        <v>3915</v>
      </c>
      <c r="L2" s="18" t="n">
        <f aca="false">K2/E2</f>
        <v>301.153846153846</v>
      </c>
      <c r="M2" s="11" t="n">
        <f aca="false">MAX(_xlfn.MAXIFS('Master Dataset'!$AE$2:$AE$33,'Master Dataset'!$B$2:$B$33,$A2),_xlfn.MAXIFS('Master Dataset'!$AF$2:$AF$33,'Master Dataset'!$B$2:$B$33,$A2))</f>
        <v>212</v>
      </c>
      <c r="N2" s="11" t="n">
        <f aca="false">MIN(_xlfn.MINIFS('Master Dataset'!$AE$2:$AE$33,'Master Dataset'!$B$2:$B$33,$A2),_xlfn.MINIFS('Master Dataset'!$AF$2:$AF$33,'Master Dataset'!$B$2:$B$33,$A2))</f>
        <v>38</v>
      </c>
      <c r="O2" s="18" t="n">
        <f aca="false">AVERAGEIFS('Master Dataset'!$AT$2:$AT$33,'Master Dataset'!$B$2:$B$33,$A2)</f>
        <v>162.153846153846</v>
      </c>
      <c r="P2" s="18" t="n">
        <f aca="false">AVERAGEIFS('Master Dataset'!$AU$2:$AU$33,'Master Dataset'!$B$2:$B$33,$A2)</f>
        <v>139</v>
      </c>
      <c r="Q2" s="11" t="n">
        <f aca="false">COUNTIFS('Master Dataset'!$B$2:$B$33,$A2,'Master Dataset'!$AX$2:$AX$33,"Batting First")</f>
        <v>4</v>
      </c>
      <c r="R2" s="11" t="n">
        <f aca="false">COUNTIFS('Master Dataset'!$B$2:$B$33,$A2,'Master Dataset'!$AX$2:$AX$33,"Chasing")</f>
        <v>9</v>
      </c>
      <c r="S2" s="11" t="n">
        <f aca="false">COUNTIFS('Master Dataset'!$B$2:$B$33,$A2,'Master Dataset'!$AW$2:$AW$33,"Tie (Super Over)")</f>
        <v>0</v>
      </c>
      <c r="T2" s="11" t="n">
        <f aca="false">COUNTIFS('Master Dataset'!$B$2:$B$33,$A2,'Master Dataset'!$AY$2:$AY$33,"Yes")</f>
        <v>7</v>
      </c>
    </row>
    <row r="3" customFormat="false" ht="15" hidden="false" customHeight="false" outlineLevel="0" collapsed="false">
      <c r="A3" s="10" t="s">
        <v>214</v>
      </c>
      <c r="B3" s="10" t="s">
        <v>666</v>
      </c>
      <c r="C3" s="10" t="s">
        <v>106</v>
      </c>
      <c r="D3" s="11" t="n">
        <v>8</v>
      </c>
      <c r="E3" s="11" t="n">
        <f aca="false">COUNTIFS('Master Dataset'!$B$2:$B$33,$A3)</f>
        <v>19</v>
      </c>
      <c r="F3" s="10" t="str">
        <f aca="false">INDEX('Master Dataset'!$AG$2:$AG$33,MATCH($A3&amp;"|Final",'Master Dataset'!$BF$2:$BF$33,0))</f>
        <v>India</v>
      </c>
      <c r="G3" s="10" t="str">
        <f aca="false">INDEX('Master Dataset'!$AV$2:$AV$33,MATCH($A3&amp;"|Final",'Master Dataset'!$BF$2:$BF$33,0))</f>
        <v>Pakistan</v>
      </c>
      <c r="H3" s="10" t="str">
        <f aca="false">INDEX('Master Dataset'!$J$2:$J$33,MATCH($A3&amp;"|Final",'Master Dataset'!$BF$2:$BF$33,0))</f>
        <v>Dubai International Cricket Stadium</v>
      </c>
      <c r="I3" s="12" t="n">
        <f aca="false">INDEX('Master Dataset'!$F$2:$F$33,MATCH($A3&amp;"|Final",'Master Dataset'!$BF$2:$BF$33,0))</f>
        <v>45928</v>
      </c>
      <c r="J3" s="10" t="str">
        <f aca="false">INDEX('Master Dataset'!$AH$2:$AH$33,MATCH($A3&amp;"|Final",'Master Dataset'!$BF$2:$BF$33,0))</f>
        <v>Tilak Varma</v>
      </c>
      <c r="K3" s="21" t="n">
        <f aca="false">SUMIFS('Master Dataset'!$BB$2:$BB$33,'Master Dataset'!$B$2:$B$33,$A3)</f>
        <v>5507</v>
      </c>
      <c r="L3" s="18" t="n">
        <f aca="false">K3/E3</f>
        <v>289.842105263158</v>
      </c>
      <c r="M3" s="11" t="n">
        <f aca="false">MAX(_xlfn.MAXIFS('Master Dataset'!$AE$2:$AE$33,'Master Dataset'!$B$2:$B$33,$A3),_xlfn.MAXIFS('Master Dataset'!$AF$2:$AF$33,'Master Dataset'!$B$2:$B$33,$A3))</f>
        <v>202</v>
      </c>
      <c r="N3" s="11" t="n">
        <f aca="false">MIN(_xlfn.MINIFS('Master Dataset'!$AE$2:$AE$33,'Master Dataset'!$B$2:$B$33,$A3),_xlfn.MINIFS('Master Dataset'!$AF$2:$AF$33,'Master Dataset'!$B$2:$B$33,$A3))</f>
        <v>57</v>
      </c>
      <c r="O3" s="18" t="n">
        <f aca="false">AVERAGEIFS('Master Dataset'!$AT$2:$AT$33,'Master Dataset'!$B$2:$B$33,$A3)</f>
        <v>153.421052631579</v>
      </c>
      <c r="P3" s="18" t="n">
        <f aca="false">AVERAGEIFS('Master Dataset'!$AU$2:$AU$33,'Master Dataset'!$B$2:$B$33,$A3)</f>
        <v>136.421052631579</v>
      </c>
      <c r="Q3" s="11" t="n">
        <f aca="false">COUNTIFS('Master Dataset'!$B$2:$B$33,$A3,'Master Dataset'!$AX$2:$AX$33,"Batting First")</f>
        <v>8</v>
      </c>
      <c r="R3" s="11" t="n">
        <f aca="false">COUNTIFS('Master Dataset'!$B$2:$B$33,$A3,'Master Dataset'!$AX$2:$AX$33,"Chasing")</f>
        <v>10</v>
      </c>
      <c r="S3" s="11" t="n">
        <f aca="false">COUNTIFS('Master Dataset'!$B$2:$B$33,$A3,'Master Dataset'!$AW$2:$AW$33,"Tie (Super Over)")</f>
        <v>1</v>
      </c>
      <c r="T3" s="11" t="n">
        <f aca="false">COUNTIFS('Master Dataset'!$B$2:$B$33,$A3,'Master Dataset'!$AY$2:$AY$33,"Yes")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</cols>
  <sheetData>
    <row r="1" customFormat="false" ht="42" hidden="false" customHeight="true" outlineLevel="0" collapsed="false">
      <c r="A1" s="9" t="s">
        <v>53</v>
      </c>
      <c r="B1" s="9" t="s">
        <v>54</v>
      </c>
      <c r="C1" s="9" t="s">
        <v>637</v>
      </c>
      <c r="D1" s="9" t="s">
        <v>662</v>
      </c>
      <c r="E1" s="9" t="s">
        <v>663</v>
      </c>
      <c r="F1" s="9" t="s">
        <v>667</v>
      </c>
      <c r="G1" s="9" t="s">
        <v>668</v>
      </c>
      <c r="H1" s="9" t="s">
        <v>669</v>
      </c>
      <c r="I1" s="9" t="s">
        <v>642</v>
      </c>
      <c r="J1" s="9" t="s">
        <v>643</v>
      </c>
      <c r="K1" s="9" t="s">
        <v>670</v>
      </c>
      <c r="L1" s="9" t="s">
        <v>31</v>
      </c>
      <c r="M1" s="9" t="s">
        <v>671</v>
      </c>
    </row>
    <row r="2" customFormat="false" ht="15" hidden="false" customHeight="false" outlineLevel="0" collapsed="false">
      <c r="A2" s="10" t="s">
        <v>103</v>
      </c>
      <c r="B2" s="10" t="s">
        <v>104</v>
      </c>
      <c r="C2" s="11" t="n">
        <f aca="false">COUNTIFS('Master Dataset'!$J$2:$J$33,$A2)</f>
        <v>20</v>
      </c>
      <c r="D2" s="18" t="n">
        <f aca="false">AVERAGEIFS('Master Dataset'!$AT$2:$AT$33,'Master Dataset'!$J$2:$J$33,$A2)</f>
        <v>155.65</v>
      </c>
      <c r="E2" s="18" t="n">
        <f aca="false">AVERAGEIFS('Master Dataset'!$AU$2:$AU$33,'Master Dataset'!$J$2:$J$33,$A2)</f>
        <v>139.5</v>
      </c>
      <c r="F2" s="11" t="n">
        <f aca="false">MAX(_xlfn.MAXIFS('Master Dataset'!$AE$2:$AE$33,'Master Dataset'!$J$2:$J$33,$A2),_xlfn.MAXIFS('Master Dataset'!$AF$2:$AF$33,'Master Dataset'!$J$2:$J$33,$A2))</f>
        <v>212</v>
      </c>
      <c r="G2" s="11" t="n">
        <f aca="false">MIN(_xlfn.MINIFS('Master Dataset'!$AE$2:$AE$33,'Master Dataset'!$J$2:$J$33,$A2),_xlfn.MINIFS('Master Dataset'!$AF$2:$AF$33,'Master Dataset'!$J$2:$J$33,$A2))</f>
        <v>57</v>
      </c>
      <c r="H2" s="18" t="n">
        <f aca="false">AVERAGEIFS('Master Dataset'!$BB$2:$BB$33,'Master Dataset'!$J$2:$J$33,$A2)</f>
        <v>295.15</v>
      </c>
      <c r="I2" s="11" t="n">
        <f aca="false">COUNTIFS('Master Dataset'!$J$2:$J$33,$A2,'Master Dataset'!$AX$2:$AX$33,"Batting First")</f>
        <v>7</v>
      </c>
      <c r="J2" s="11" t="n">
        <f aca="false">COUNTIFS('Master Dataset'!$J$2:$J$33,$A2,'Master Dataset'!$AX$2:$AX$33,"Chasing")</f>
        <v>12</v>
      </c>
      <c r="K2" s="19" t="n">
        <f aca="false">IF(C2=0,0,J2/C2)</f>
        <v>0.6</v>
      </c>
      <c r="L2" s="11" t="n">
        <f aca="false">COUNTIFS('Master Dataset'!$J$2:$J$33,$A2,'Master Dataset'!$AY$2:$AY$33,"Yes")</f>
        <v>11</v>
      </c>
      <c r="M2" s="18" t="n">
        <f aca="false">AVERAGEIFS('Master Dataset'!$BD$2:$BD$33,'Master Dataset'!$J$2:$J$33,$A2)/2</f>
        <v>48.3</v>
      </c>
    </row>
    <row r="3" customFormat="false" ht="15" hidden="false" customHeight="false" outlineLevel="0" collapsed="false">
      <c r="A3" s="10" t="s">
        <v>140</v>
      </c>
      <c r="B3" s="10" t="s">
        <v>141</v>
      </c>
      <c r="C3" s="11" t="n">
        <f aca="false">COUNTIFS('Master Dataset'!$J$2:$J$33,$A3)</f>
        <v>4</v>
      </c>
      <c r="D3" s="18" t="n">
        <f aca="false">AVERAGEIFS('Master Dataset'!$AT$2:$AT$33,'Master Dataset'!$J$2:$J$33,$A3)</f>
        <v>156</v>
      </c>
      <c r="E3" s="18" t="n">
        <f aca="false">AVERAGEIFS('Master Dataset'!$AU$2:$AU$33,'Master Dataset'!$J$2:$J$33,$A3)</f>
        <v>119.75</v>
      </c>
      <c r="F3" s="11" t="n">
        <f aca="false">MAX(_xlfn.MAXIFS('Master Dataset'!$AE$2:$AE$33,'Master Dataset'!$J$2:$J$33,$A3),_xlfn.MAXIFS('Master Dataset'!$AF$2:$AF$33,'Master Dataset'!$J$2:$J$33,$A3))</f>
        <v>193</v>
      </c>
      <c r="G3" s="11" t="n">
        <f aca="false">MIN(_xlfn.MINIFS('Master Dataset'!$AE$2:$AE$33,'Master Dataset'!$J$2:$J$33,$A3),_xlfn.MINIFS('Master Dataset'!$AF$2:$AF$33,'Master Dataset'!$J$2:$J$33,$A3))</f>
        <v>38</v>
      </c>
      <c r="H3" s="18" t="n">
        <f aca="false">AVERAGEIFS('Master Dataset'!$BB$2:$BB$33,'Master Dataset'!$J$2:$J$33,$A3)</f>
        <v>275.75</v>
      </c>
      <c r="I3" s="11" t="n">
        <f aca="false">COUNTIFS('Master Dataset'!$J$2:$J$33,$A3,'Master Dataset'!$AX$2:$AX$33,"Batting First")</f>
        <v>1</v>
      </c>
      <c r="J3" s="11" t="n">
        <f aca="false">COUNTIFS('Master Dataset'!$J$2:$J$33,$A3,'Master Dataset'!$AX$2:$AX$33,"Chasing")</f>
        <v>3</v>
      </c>
      <c r="K3" s="19" t="n">
        <f aca="false">IF(C3=0,0,J3/C3)</f>
        <v>0.75</v>
      </c>
      <c r="L3" s="11" t="n">
        <f aca="false">COUNTIFS('Master Dataset'!$J$2:$J$33,$A3,'Master Dataset'!$AY$2:$AY$33,"Yes")</f>
        <v>2</v>
      </c>
      <c r="M3" s="18" t="n">
        <f aca="false">AVERAGEIFS('Master Dataset'!$BD$2:$BD$33,'Master Dataset'!$J$2:$J$33,$A3)/2</f>
        <v>38.125</v>
      </c>
    </row>
    <row r="4" customFormat="false" ht="15" hidden="false" customHeight="false" outlineLevel="0" collapsed="false">
      <c r="A4" s="10" t="s">
        <v>215</v>
      </c>
      <c r="B4" s="10" t="s">
        <v>216</v>
      </c>
      <c r="C4" s="11" t="n">
        <f aca="false">COUNTIFS('Master Dataset'!$J$2:$J$33,$A4)</f>
        <v>8</v>
      </c>
      <c r="D4" s="18" t="n">
        <f aca="false">AVERAGEIFS('Master Dataset'!$AT$2:$AT$33,'Master Dataset'!$J$2:$J$33,$A4)</f>
        <v>160.75</v>
      </c>
      <c r="E4" s="18" t="n">
        <f aca="false">AVERAGEIFS('Master Dataset'!$AU$2:$AU$33,'Master Dataset'!$J$2:$J$33,$A4)</f>
        <v>141.25</v>
      </c>
      <c r="F4" s="11" t="n">
        <f aca="false">MAX(_xlfn.MAXIFS('Master Dataset'!$AE$2:$AE$33,'Master Dataset'!$J$2:$J$33,$A4),_xlfn.MAXIFS('Master Dataset'!$AF$2:$AF$33,'Master Dataset'!$J$2:$J$33,$A4))</f>
        <v>188</v>
      </c>
      <c r="G4" s="11" t="n">
        <f aca="false">MIN(_xlfn.MINIFS('Master Dataset'!$AE$2:$AE$33,'Master Dataset'!$J$2:$J$33,$A4),_xlfn.MINIFS('Master Dataset'!$AF$2:$AF$33,'Master Dataset'!$J$2:$J$33,$A4))</f>
        <v>94</v>
      </c>
      <c r="H4" s="18" t="n">
        <f aca="false">AVERAGEIFS('Master Dataset'!$BB$2:$BB$33,'Master Dataset'!$J$2:$J$33,$A4)</f>
        <v>302</v>
      </c>
      <c r="I4" s="11" t="n">
        <f aca="false">COUNTIFS('Master Dataset'!$J$2:$J$33,$A4,'Master Dataset'!$AX$2:$AX$33,"Batting First")</f>
        <v>4</v>
      </c>
      <c r="J4" s="11" t="n">
        <f aca="false">COUNTIFS('Master Dataset'!$J$2:$J$33,$A4,'Master Dataset'!$AX$2:$AX$33,"Chasing")</f>
        <v>4</v>
      </c>
      <c r="K4" s="19" t="n">
        <f aca="false">IF(C4=0,0,J4/C4)</f>
        <v>0.5</v>
      </c>
      <c r="L4" s="11" t="n">
        <f aca="false">COUNTIFS('Master Dataset'!$J$2:$J$33,$A4,'Master Dataset'!$AY$2:$AY$33,"Yes")</f>
        <v>6</v>
      </c>
      <c r="M4" s="18" t="n">
        <f aca="false">AVERAGEIFS('Master Dataset'!$BD$2:$BD$33,'Master Dataset'!$J$2:$J$33,$A4)/2</f>
        <v>44.625</v>
      </c>
    </row>
    <row r="6" customFormat="false" ht="15" hidden="false" customHeight="false" outlineLevel="0" collapsed="false">
      <c r="A6" s="22" t="s">
        <v>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9" t="s">
        <v>673</v>
      </c>
      <c r="B1" s="9" t="s">
        <v>674</v>
      </c>
      <c r="C1" s="9" t="s">
        <v>675</v>
      </c>
      <c r="D1" s="9" t="s">
        <v>676</v>
      </c>
    </row>
    <row r="2" customFormat="false" ht="15" hidden="false" customHeight="false" outlineLevel="0" collapsed="false">
      <c r="A2" s="10" t="s">
        <v>301</v>
      </c>
      <c r="B2" s="11" t="n">
        <f aca="false">COUNTIF('Master Dataset'!$AH$2:$AH$33,$A2)</f>
        <v>2</v>
      </c>
      <c r="C2" s="11" t="n">
        <f aca="false">COUNTIFS('Master Dataset'!$AH$2:$AH$33,$A2,'Master Dataset'!$B$2:$B$33,"Asia Cup 2022")</f>
        <v>0</v>
      </c>
      <c r="D2" s="11" t="n">
        <f aca="false">COUNTIFS('Master Dataset'!$AH$2:$AH$33,$A2,'Master Dataset'!$B$2:$B$33,"Asia Cup 2025")</f>
        <v>2</v>
      </c>
    </row>
    <row r="3" customFormat="false" ht="15" hidden="false" customHeight="false" outlineLevel="0" collapsed="false">
      <c r="A3" s="10" t="s">
        <v>231</v>
      </c>
      <c r="B3" s="11" t="n">
        <f aca="false">COUNTIF('Master Dataset'!$AH$2:$AH$33,$A3)</f>
        <v>2</v>
      </c>
      <c r="C3" s="11" t="n">
        <f aca="false">COUNTIFS('Master Dataset'!$AH$2:$AH$33,$A3,'Master Dataset'!$B$2:$B$33,"Asia Cup 2022")</f>
        <v>0</v>
      </c>
      <c r="D3" s="11" t="n">
        <f aca="false">COUNTIFS('Master Dataset'!$AH$2:$AH$33,$A3,'Master Dataset'!$B$2:$B$33,"Asia Cup 2025")</f>
        <v>2</v>
      </c>
    </row>
    <row r="4" customFormat="false" ht="15" hidden="false" customHeight="false" outlineLevel="0" collapsed="false">
      <c r="A4" s="10" t="s">
        <v>163</v>
      </c>
      <c r="B4" s="11" t="n">
        <f aca="false">COUNTIF('Master Dataset'!$AH$2:$AH$33,$A4)</f>
        <v>2</v>
      </c>
      <c r="C4" s="11" t="n">
        <f aca="false">COUNTIFS('Master Dataset'!$AH$2:$AH$33,$A4,'Master Dataset'!$B$2:$B$33,"Asia Cup 2022")</f>
        <v>1</v>
      </c>
      <c r="D4" s="11" t="n">
        <f aca="false">COUNTIFS('Master Dataset'!$AH$2:$AH$33,$A4,'Master Dataset'!$B$2:$B$33,"Asia Cup 2025")</f>
        <v>1</v>
      </c>
    </row>
    <row r="5" customFormat="false" ht="15" hidden="false" customHeight="false" outlineLevel="0" collapsed="false">
      <c r="A5" s="10" t="s">
        <v>267</v>
      </c>
      <c r="B5" s="11" t="n">
        <f aca="false">COUNTIF('Master Dataset'!$AH$2:$AH$33,$A5)</f>
        <v>2</v>
      </c>
      <c r="C5" s="11" t="n">
        <f aca="false">COUNTIFS('Master Dataset'!$AH$2:$AH$33,$A5,'Master Dataset'!$B$2:$B$33,"Asia Cup 2022")</f>
        <v>0</v>
      </c>
      <c r="D5" s="11" t="n">
        <f aca="false">COUNTIFS('Master Dataset'!$AH$2:$AH$33,$A5,'Master Dataset'!$B$2:$B$33,"Asia Cup 2025")</f>
        <v>2</v>
      </c>
    </row>
    <row r="6" customFormat="false" ht="15" hidden="false" customHeight="false" outlineLevel="0" collapsed="false">
      <c r="A6" s="10" t="s">
        <v>278</v>
      </c>
      <c r="B6" s="11" t="n">
        <f aca="false">COUNTIF('Master Dataset'!$AH$2:$AH$33,$A6)</f>
        <v>2</v>
      </c>
      <c r="C6" s="11" t="n">
        <f aca="false">COUNTIFS('Master Dataset'!$AH$2:$AH$33,$A6,'Master Dataset'!$B$2:$B$33,"Asia Cup 2022")</f>
        <v>0</v>
      </c>
      <c r="D6" s="11" t="n">
        <f aca="false">COUNTIFS('Master Dataset'!$AH$2:$AH$33,$A6,'Master Dataset'!$B$2:$B$33,"Asia Cup 2025")</f>
        <v>2</v>
      </c>
    </row>
    <row r="7" customFormat="false" ht="15" hidden="false" customHeight="false" outlineLevel="0" collapsed="false">
      <c r="A7" s="10" t="s">
        <v>261</v>
      </c>
      <c r="B7" s="11" t="n">
        <f aca="false">COUNTIF('Master Dataset'!$AH$2:$AH$33,$A7)</f>
        <v>1</v>
      </c>
      <c r="C7" s="11" t="n">
        <f aca="false">COUNTIFS('Master Dataset'!$AH$2:$AH$33,$A7,'Master Dataset'!$B$2:$B$33,"Asia Cup 2022")</f>
        <v>0</v>
      </c>
      <c r="D7" s="11" t="n">
        <f aca="false">COUNTIFS('Master Dataset'!$AH$2:$AH$33,$A7,'Master Dataset'!$B$2:$B$33,"Asia Cup 2025")</f>
        <v>1</v>
      </c>
    </row>
    <row r="8" customFormat="false" ht="15" hidden="false" customHeight="false" outlineLevel="0" collapsed="false">
      <c r="A8" s="10" t="s">
        <v>220</v>
      </c>
      <c r="B8" s="11" t="n">
        <f aca="false">COUNTIF('Master Dataset'!$AH$2:$AH$33,$A8)</f>
        <v>1</v>
      </c>
      <c r="C8" s="11" t="n">
        <f aca="false">COUNTIFS('Master Dataset'!$AH$2:$AH$33,$A8,'Master Dataset'!$B$2:$B$33,"Asia Cup 2022")</f>
        <v>0</v>
      </c>
      <c r="D8" s="11" t="n">
        <f aca="false">COUNTIFS('Master Dataset'!$AH$2:$AH$33,$A8,'Master Dataset'!$B$2:$B$33,"Asia Cup 2025")</f>
        <v>1</v>
      </c>
    </row>
    <row r="9" customFormat="false" ht="15" hidden="false" customHeight="false" outlineLevel="0" collapsed="false">
      <c r="A9" s="10" t="s">
        <v>211</v>
      </c>
      <c r="B9" s="11" t="n">
        <f aca="false">COUNTIF('Master Dataset'!$AH$2:$AH$33,$A9)</f>
        <v>1</v>
      </c>
      <c r="C9" s="11" t="n">
        <f aca="false">COUNTIFS('Master Dataset'!$AH$2:$AH$33,$A9,'Master Dataset'!$B$2:$B$33,"Asia Cup 2022")</f>
        <v>1</v>
      </c>
      <c r="D9" s="11" t="n">
        <f aca="false">COUNTIFS('Master Dataset'!$AH$2:$AH$33,$A9,'Master Dataset'!$B$2:$B$33,"Asia Cup 2025")</f>
        <v>0</v>
      </c>
    </row>
    <row r="10" customFormat="false" ht="15" hidden="false" customHeight="false" outlineLevel="0" collapsed="false">
      <c r="A10" s="10" t="s">
        <v>188</v>
      </c>
      <c r="B10" s="11" t="n">
        <f aca="false">COUNTIF('Master Dataset'!$AH$2:$AH$33,$A10)</f>
        <v>1</v>
      </c>
      <c r="C10" s="11" t="n">
        <f aca="false">COUNTIFS('Master Dataset'!$AH$2:$AH$33,$A10,'Master Dataset'!$B$2:$B$33,"Asia Cup 2022")</f>
        <v>1</v>
      </c>
      <c r="D10" s="11" t="n">
        <f aca="false">COUNTIFS('Master Dataset'!$AH$2:$AH$33,$A10,'Master Dataset'!$B$2:$B$33,"Asia Cup 2025")</f>
        <v>0</v>
      </c>
    </row>
    <row r="11" customFormat="false" ht="15" hidden="false" customHeight="false" outlineLevel="0" collapsed="false">
      <c r="A11" s="10" t="s">
        <v>114</v>
      </c>
      <c r="B11" s="11" t="n">
        <f aca="false">COUNTIF('Master Dataset'!$AH$2:$AH$33,$A11)</f>
        <v>1</v>
      </c>
      <c r="C11" s="11" t="n">
        <f aca="false">COUNTIFS('Master Dataset'!$AH$2:$AH$33,$A11,'Master Dataset'!$B$2:$B$33,"Asia Cup 2022")</f>
        <v>1</v>
      </c>
      <c r="D11" s="11" t="n">
        <f aca="false">COUNTIFS('Master Dataset'!$AH$2:$AH$33,$A11,'Master Dataset'!$B$2:$B$33,"Asia Cup 2025")</f>
        <v>0</v>
      </c>
    </row>
    <row r="12" customFormat="false" ht="15" hidden="false" customHeight="false" outlineLevel="0" collapsed="false">
      <c r="A12" s="10" t="s">
        <v>131</v>
      </c>
      <c r="B12" s="11" t="n">
        <f aca="false">COUNTIF('Master Dataset'!$AH$2:$AH$33,$A12)</f>
        <v>1</v>
      </c>
      <c r="C12" s="11" t="n">
        <f aca="false">COUNTIFS('Master Dataset'!$AH$2:$AH$33,$A12,'Master Dataset'!$B$2:$B$33,"Asia Cup 2022")</f>
        <v>1</v>
      </c>
      <c r="D12" s="11" t="n">
        <f aca="false">COUNTIFS('Master Dataset'!$AH$2:$AH$33,$A12,'Master Dataset'!$B$2:$B$33,"Asia Cup 2025")</f>
        <v>0</v>
      </c>
    </row>
    <row r="13" customFormat="false" ht="15" hidden="false" customHeight="false" outlineLevel="0" collapsed="false">
      <c r="A13" s="10" t="s">
        <v>306</v>
      </c>
      <c r="B13" s="11" t="n">
        <f aca="false">COUNTIF('Master Dataset'!$AH$2:$AH$33,$A13)</f>
        <v>1</v>
      </c>
      <c r="C13" s="11" t="n">
        <f aca="false">COUNTIFS('Master Dataset'!$AH$2:$AH$33,$A13,'Master Dataset'!$B$2:$B$33,"Asia Cup 2022")</f>
        <v>0</v>
      </c>
      <c r="D13" s="11" t="n">
        <f aca="false">COUNTIFS('Master Dataset'!$AH$2:$AH$33,$A13,'Master Dataset'!$B$2:$B$33,"Asia Cup 2025")</f>
        <v>1</v>
      </c>
    </row>
    <row r="14" customFormat="false" ht="15" hidden="false" customHeight="false" outlineLevel="0" collapsed="false">
      <c r="A14" s="10" t="s">
        <v>250</v>
      </c>
      <c r="B14" s="11" t="n">
        <f aca="false">COUNTIF('Master Dataset'!$AH$2:$AH$33,$A14)</f>
        <v>1</v>
      </c>
      <c r="C14" s="11" t="n">
        <f aca="false">COUNTIFS('Master Dataset'!$AH$2:$AH$33,$A14,'Master Dataset'!$B$2:$B$33,"Asia Cup 2022")</f>
        <v>0</v>
      </c>
      <c r="D14" s="11" t="n">
        <f aca="false">COUNTIFS('Master Dataset'!$AH$2:$AH$33,$A14,'Master Dataset'!$B$2:$B$33,"Asia Cup 2025")</f>
        <v>1</v>
      </c>
    </row>
    <row r="15" customFormat="false" ht="15" hidden="false" customHeight="false" outlineLevel="0" collapsed="false">
      <c r="A15" s="10" t="s">
        <v>239</v>
      </c>
      <c r="B15" s="11" t="n">
        <f aca="false">COUNTIF('Master Dataset'!$AH$2:$AH$33,$A15)</f>
        <v>1</v>
      </c>
      <c r="C15" s="11" t="n">
        <f aca="false">COUNTIFS('Master Dataset'!$AH$2:$AH$33,$A15,'Master Dataset'!$B$2:$B$33,"Asia Cup 2022")</f>
        <v>0</v>
      </c>
      <c r="D15" s="11" t="n">
        <f aca="false">COUNTIFS('Master Dataset'!$AH$2:$AH$33,$A15,'Master Dataset'!$B$2:$B$33,"Asia Cup 2025")</f>
        <v>1</v>
      </c>
    </row>
    <row r="16" customFormat="false" ht="15" hidden="false" customHeight="false" outlineLevel="0" collapsed="false">
      <c r="A16" s="10" t="s">
        <v>245</v>
      </c>
      <c r="B16" s="11" t="n">
        <f aca="false">COUNTIF('Master Dataset'!$AH$2:$AH$33,$A16)</f>
        <v>1</v>
      </c>
      <c r="C16" s="11" t="n">
        <f aca="false">COUNTIFS('Master Dataset'!$AH$2:$AH$33,$A16,'Master Dataset'!$B$2:$B$33,"Asia Cup 2022")</f>
        <v>0</v>
      </c>
      <c r="D16" s="11" t="n">
        <f aca="false">COUNTIFS('Master Dataset'!$AH$2:$AH$33,$A16,'Master Dataset'!$B$2:$B$33,"Asia Cup 2025")</f>
        <v>1</v>
      </c>
    </row>
    <row r="17" customFormat="false" ht="15" hidden="false" customHeight="false" outlineLevel="0" collapsed="false">
      <c r="A17" s="10" t="s">
        <v>183</v>
      </c>
      <c r="B17" s="11" t="n">
        <f aca="false">COUNTIF('Master Dataset'!$AH$2:$AH$33,$A17)</f>
        <v>1</v>
      </c>
      <c r="C17" s="11" t="n">
        <f aca="false">COUNTIFS('Master Dataset'!$AH$2:$AH$33,$A17,'Master Dataset'!$B$2:$B$33,"Asia Cup 2022")</f>
        <v>1</v>
      </c>
      <c r="D17" s="11" t="n">
        <f aca="false">COUNTIFS('Master Dataset'!$AH$2:$AH$33,$A17,'Master Dataset'!$B$2:$B$33,"Asia Cup 2025")</f>
        <v>0</v>
      </c>
    </row>
    <row r="18" customFormat="false" ht="15" hidden="false" customHeight="false" outlineLevel="0" collapsed="false">
      <c r="A18" s="10" t="s">
        <v>170</v>
      </c>
      <c r="B18" s="11" t="n">
        <f aca="false">COUNTIF('Master Dataset'!$AH$2:$AH$33,$A18)</f>
        <v>1</v>
      </c>
      <c r="C18" s="11" t="n">
        <f aca="false">COUNTIFS('Master Dataset'!$AH$2:$AH$33,$A18,'Master Dataset'!$B$2:$B$33,"Asia Cup 2022")</f>
        <v>1</v>
      </c>
      <c r="D18" s="11" t="n">
        <f aca="false">COUNTIFS('Master Dataset'!$AH$2:$AH$33,$A18,'Master Dataset'!$B$2:$B$33,"Asia Cup 2025")</f>
        <v>0</v>
      </c>
    </row>
    <row r="19" customFormat="false" ht="15" hidden="false" customHeight="false" outlineLevel="0" collapsed="false">
      <c r="A19" s="10" t="s">
        <v>146</v>
      </c>
      <c r="B19" s="11" t="n">
        <f aca="false">COUNTIF('Master Dataset'!$AH$2:$AH$33,$A19)</f>
        <v>1</v>
      </c>
      <c r="C19" s="11" t="n">
        <f aca="false">COUNTIFS('Master Dataset'!$AH$2:$AH$33,$A19,'Master Dataset'!$B$2:$B$33,"Asia Cup 2022")</f>
        <v>1</v>
      </c>
      <c r="D19" s="11" t="n">
        <f aca="false">COUNTIFS('Master Dataset'!$AH$2:$AH$33,$A19,'Master Dataset'!$B$2:$B$33,"Asia Cup 2025")</f>
        <v>0</v>
      </c>
    </row>
    <row r="20" customFormat="false" ht="15" hidden="false" customHeight="false" outlineLevel="0" collapsed="false">
      <c r="A20" s="10" t="s">
        <v>272</v>
      </c>
      <c r="B20" s="11" t="n">
        <f aca="false">COUNTIF('Master Dataset'!$AH$2:$AH$33,$A20)</f>
        <v>1</v>
      </c>
      <c r="C20" s="11" t="n">
        <f aca="false">COUNTIFS('Master Dataset'!$AH$2:$AH$33,$A20,'Master Dataset'!$B$2:$B$33,"Asia Cup 2022")</f>
        <v>0</v>
      </c>
      <c r="D20" s="11" t="n">
        <f aca="false">COUNTIFS('Master Dataset'!$AH$2:$AH$33,$A20,'Master Dataset'!$B$2:$B$33,"Asia Cup 2025")</f>
        <v>1</v>
      </c>
    </row>
    <row r="21" customFormat="false" ht="15" hidden="false" customHeight="false" outlineLevel="0" collapsed="false">
      <c r="A21" s="10" t="s">
        <v>177</v>
      </c>
      <c r="B21" s="11" t="n">
        <f aca="false">COUNTIF('Master Dataset'!$AH$2:$AH$33,$A21)</f>
        <v>1</v>
      </c>
      <c r="C21" s="11" t="n">
        <f aca="false">COUNTIFS('Master Dataset'!$AH$2:$AH$33,$A21,'Master Dataset'!$B$2:$B$33,"Asia Cup 2022")</f>
        <v>1</v>
      </c>
      <c r="D21" s="11" t="n">
        <f aca="false">COUNTIFS('Master Dataset'!$AH$2:$AH$33,$A21,'Master Dataset'!$B$2:$B$33,"Asia Cup 2025")</f>
        <v>0</v>
      </c>
    </row>
    <row r="22" customFormat="false" ht="15" hidden="false" customHeight="false" outlineLevel="0" collapsed="false">
      <c r="A22" s="10" t="s">
        <v>296</v>
      </c>
      <c r="B22" s="11" t="n">
        <f aca="false">COUNTIF('Master Dataset'!$AH$2:$AH$33,$A22)</f>
        <v>1</v>
      </c>
      <c r="C22" s="11" t="n">
        <f aca="false">COUNTIFS('Master Dataset'!$AH$2:$AH$33,$A22,'Master Dataset'!$B$2:$B$33,"Asia Cup 2022")</f>
        <v>0</v>
      </c>
      <c r="D22" s="11" t="n">
        <f aca="false">COUNTIFS('Master Dataset'!$AH$2:$AH$33,$A22,'Master Dataset'!$B$2:$B$33,"Asia Cup 2025")</f>
        <v>1</v>
      </c>
    </row>
    <row r="23" customFormat="false" ht="15" hidden="false" customHeight="false" outlineLevel="0" collapsed="false">
      <c r="A23" s="10" t="s">
        <v>290</v>
      </c>
      <c r="B23" s="11" t="n">
        <f aca="false">COUNTIF('Master Dataset'!$AH$2:$AH$33,$A23)</f>
        <v>1</v>
      </c>
      <c r="C23" s="11" t="n">
        <f aca="false">COUNTIFS('Master Dataset'!$AH$2:$AH$33,$A23,'Master Dataset'!$B$2:$B$33,"Asia Cup 2022")</f>
        <v>0</v>
      </c>
      <c r="D23" s="11" t="n">
        <f aca="false">COUNTIFS('Master Dataset'!$AH$2:$AH$33,$A23,'Master Dataset'!$B$2:$B$33,"Asia Cup 2025")</f>
        <v>1</v>
      </c>
    </row>
    <row r="24" customFormat="false" ht="15" hidden="false" customHeight="false" outlineLevel="0" collapsed="false">
      <c r="A24" s="10" t="s">
        <v>195</v>
      </c>
      <c r="B24" s="11" t="n">
        <f aca="false">COUNTIF('Master Dataset'!$AH$2:$AH$33,$A24)</f>
        <v>1</v>
      </c>
      <c r="C24" s="11" t="n">
        <f aca="false">COUNTIFS('Master Dataset'!$AH$2:$AH$33,$A24,'Master Dataset'!$B$2:$B$33,"Asia Cup 2022")</f>
        <v>1</v>
      </c>
      <c r="D24" s="11" t="n">
        <f aca="false">COUNTIFS('Master Dataset'!$AH$2:$AH$33,$A24,'Master Dataset'!$B$2:$B$33,"Asia Cup 2025")</f>
        <v>0</v>
      </c>
    </row>
    <row r="25" customFormat="false" ht="15" hidden="false" customHeight="false" outlineLevel="0" collapsed="false">
      <c r="A25" s="10" t="s">
        <v>156</v>
      </c>
      <c r="B25" s="11" t="n">
        <f aca="false">COUNTIF('Master Dataset'!$AH$2:$AH$33,$A25)</f>
        <v>1</v>
      </c>
      <c r="C25" s="11" t="n">
        <f aca="false">COUNTIFS('Master Dataset'!$AH$2:$AH$33,$A25,'Master Dataset'!$B$2:$B$33,"Asia Cup 2022")</f>
        <v>1</v>
      </c>
      <c r="D25" s="11" t="n">
        <f aca="false">COUNTIFS('Master Dataset'!$AH$2:$AH$33,$A25,'Master Dataset'!$B$2:$B$33,"Asia Cup 2025")</f>
        <v>0</v>
      </c>
    </row>
    <row r="26" customFormat="false" ht="15" hidden="false" customHeight="false" outlineLevel="0" collapsed="false">
      <c r="A26" s="10" t="s">
        <v>325</v>
      </c>
      <c r="B26" s="11" t="n">
        <f aca="false">COUNTIF('Master Dataset'!$AH$2:$AH$33,$A26)</f>
        <v>1</v>
      </c>
      <c r="C26" s="11" t="n">
        <f aca="false">COUNTIFS('Master Dataset'!$AH$2:$AH$33,$A26,'Master Dataset'!$B$2:$B$33,"Asia Cup 2022")</f>
        <v>0</v>
      </c>
      <c r="D26" s="11" t="n">
        <f aca="false">COUNTIFS('Master Dataset'!$AH$2:$AH$33,$A26,'Master Dataset'!$B$2:$B$33,"Asia Cup 2025")</f>
        <v>1</v>
      </c>
    </row>
    <row r="27" customFormat="false" ht="15" hidden="false" customHeight="false" outlineLevel="0" collapsed="false">
      <c r="A27" s="10" t="s">
        <v>201</v>
      </c>
      <c r="B27" s="11" t="n">
        <f aca="false">COUNTIF('Master Dataset'!$AH$2:$AH$33,$A27)</f>
        <v>1</v>
      </c>
      <c r="C27" s="11" t="n">
        <f aca="false">COUNTIFS('Master Dataset'!$AH$2:$AH$33,$A27,'Master Dataset'!$B$2:$B$33,"Asia Cup 2022")</f>
        <v>1</v>
      </c>
      <c r="D27" s="11" t="n">
        <f aca="false">COUNTIFS('Master Dataset'!$AH$2:$AH$33,$A27,'Master Dataset'!$B$2:$B$33,"Asia Cup 2025")</f>
        <v>0</v>
      </c>
    </row>
    <row r="28" customFormat="false" ht="15" hidden="false" customHeight="false" outlineLevel="0" collapsed="false">
      <c r="A28" s="10" t="s">
        <v>207</v>
      </c>
      <c r="B28" s="11" t="n">
        <f aca="false">COUNTIF('Master Dataset'!$AH$2:$AH$33,$A28)</f>
        <v>1</v>
      </c>
      <c r="C28" s="11" t="n">
        <f aca="false">COUNTIFS('Master Dataset'!$AH$2:$AH$33,$A28,'Master Dataset'!$B$2:$B$33,"Asia Cup 2022")</f>
        <v>1</v>
      </c>
      <c r="D28" s="11" t="n">
        <f aca="false">COUNTIFS('Master Dataset'!$AH$2:$AH$33,$A28,'Master Dataset'!$B$2:$B$33,"Asia Cup 2025")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2026-10-19T08:29:12Z</dcterms:created>
  <dc:creator>openpyxl</dc:creator>
  <dc:description/>
  <dc:language>en-US</dc:language>
  <cp:lastModifiedBy/>
  <dcterms:modified xsi:type="dcterms:W3CDTF">2026-10-19T08:29:12Z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